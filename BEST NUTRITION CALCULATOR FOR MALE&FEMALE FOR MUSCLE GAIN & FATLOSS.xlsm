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"/>
    </mc:Choice>
  </mc:AlternateContent>
  <xr:revisionPtr revIDLastSave="0" documentId="13_ncr:1_{49D5DDFC-34A0-4F62-A478-7812430C94C0}" xr6:coauthVersionLast="45" xr6:coauthVersionMax="45" xr10:uidLastSave="{00000000-0000-0000-0000-000000000000}"/>
  <bookViews>
    <workbookView xWindow="-120" yWindow="-120" windowWidth="20730" windowHeight="11160" xr2:uid="{00000000-000D-0000-FFFF-FFFF00000000}"/>
  </bookViews>
  <sheets>
    <sheet name="Meal Manager" sheetId="2" r:id="rId1"/>
    <sheet name="Plan 1" sheetId="5" state="hidden" r:id="rId2"/>
    <sheet name="Plan 2" sheetId="8" state="hidden" r:id="rId3"/>
    <sheet name="Plan 3" sheetId="11" state="hidden" r:id="rId4"/>
    <sheet name="Plan 4" sheetId="12" state="hidden" r:id="rId5"/>
    <sheet name="Plan 5" sheetId="13" state="hidden" r:id="rId6"/>
    <sheet name="Info" sheetId="3" state="hidden" r:id="rId7"/>
    <sheet name="Results Graph" sheetId="16" state="hidden" r:id="rId8"/>
    <sheet name="Stats" sheetId="4" state="hidden" r:id="rId9"/>
    <sheet name="Export" sheetId="17" state="hidden" r:id="rId10"/>
  </sheets>
  <definedNames>
    <definedName name="Actual1" localSheetId="2">OFFSET(_xlnm.Database,,5,,1)</definedName>
    <definedName name="Actual1" localSheetId="3">OFFSET(_xlnm.Database,,5,,1)</definedName>
    <definedName name="Actual1" localSheetId="4">OFFSET(_xlnm.Database,,5,,1)</definedName>
    <definedName name="Actual1" localSheetId="5">OFFSET(_xlnm.Database,,5,,1)</definedName>
    <definedName name="Actual1">OFFSET(_xlnm.Database,,5,,1)</definedName>
    <definedName name="Actual2" localSheetId="2">OFFSET(_xlnm.Database,,6,,1)</definedName>
    <definedName name="Actual2" localSheetId="3">OFFSET(_xlnm.Database,,6,,1)</definedName>
    <definedName name="Actual2" localSheetId="4">OFFSET(_xlnm.Database,,6,,1)</definedName>
    <definedName name="Actual2" localSheetId="5">OFFSET(_xlnm.Database,,6,,1)</definedName>
    <definedName name="Actual3" localSheetId="2">OFFSET(_xlnm.Database,,7,,1)</definedName>
    <definedName name="Actual3" localSheetId="3">OFFSET(_xlnm.Database,,7,,1)</definedName>
    <definedName name="Actual3" localSheetId="4">OFFSET(_xlnm.Database,,7,,1)</definedName>
    <definedName name="Actual3" localSheetId="5">OFFSET(_xlnm.Database,,7,,1)</definedName>
    <definedName name="Actual4" localSheetId="2">OFFSET(_xlnm.Database,,8,,1)</definedName>
    <definedName name="Actual4" localSheetId="3">OFFSET(_xlnm.Database,,8,,1)</definedName>
    <definedName name="Actual4" localSheetId="4">OFFSET(_xlnm.Database,,8,,1)</definedName>
    <definedName name="Actual4" localSheetId="5">OFFSET(_xlnm.Database,,8,,1)</definedName>
    <definedName name="ActualResult">OFFSET(Export!$A$35,,5,MAX(COUNTA(Export!$A:$A)-2,1),)</definedName>
    <definedName name="Amount">'Meal Manager'!XFD1/VLOOKUP('Meal Manager'!XFC1,Food_Database,10,FALSE)</definedName>
    <definedName name="Beverages">Info!$B$522:$L$584</definedName>
    <definedName name="Body.db">Info!$L$2</definedName>
    <definedName name="Body.match">Info!$I$2</definedName>
    <definedName name="Body.type">'Meal Manager'!$G$17</definedName>
    <definedName name="Body_type">Info!$H$4:$N$8</definedName>
    <definedName name="Breads">Info!$B$403:$L$445</definedName>
    <definedName name="Calories" localSheetId="2">IF('Meal Manager'!XFC1&gt;0,VLOOKUP('Meal Manager'!XFC1,Food_Database,2,FALSE)*'Meal Manager'!XFD1/'Plan 2'!convert,)</definedName>
    <definedName name="Calories" localSheetId="3">IF('Meal Manager'!XFC1&gt;0,VLOOKUP('Meal Manager'!XFC1,Food_Database,2,FALSE)*'Meal Manager'!XFD1/'Plan 3'!convert,)</definedName>
    <definedName name="Calories" localSheetId="4">IF('Meal Manager'!XFC1&gt;0,VLOOKUP('Meal Manager'!XFC1,Food_Database,2,FALSE)*'Meal Manager'!XFD1/'Plan 4'!convert,)</definedName>
    <definedName name="Calories" localSheetId="5">IF('Meal Manager'!XFC1&gt;0,VLOOKUP('Meal Manager'!XFC1,Food_Database,2,FALSE)*'Meal Manager'!XFD1/'Plan 5'!convert,)</definedName>
    <definedName name="Calories">IF('Meal Manager'!XFB1&gt;0,VLOOKUP('Meal Manager'!XFB1,Food_Database,2,FALSE)*'Meal Manager'!XFC1/convert,)</definedName>
    <definedName name="Carbs" localSheetId="2">IF('Meal Manager'!XEZ1&gt;0,VLOOKUP('Meal Manager'!XEZ1,Food_Database,5,FALSE)*'Meal Manager'!XFA1/'Plan 2'!convert,)</definedName>
    <definedName name="Carbs" localSheetId="3">IF('Meal Manager'!XEZ1&gt;0,VLOOKUP('Meal Manager'!XEZ1,Food_Database,5,FALSE)*'Meal Manager'!XFA1/'Plan 3'!convert,)</definedName>
    <definedName name="Carbs" localSheetId="4">IF('Meal Manager'!XEZ1&gt;0,VLOOKUP('Meal Manager'!XEZ1,Food_Database,5,FALSE)*'Meal Manager'!XFA1/'Plan 4'!convert,)</definedName>
    <definedName name="Carbs" localSheetId="5">IF('Meal Manager'!XEZ1&gt;0,VLOOKUP('Meal Manager'!XEZ1,Food_Database,5,FALSE)*'Meal Manager'!XFA1/'Plan 5'!convert,)</definedName>
    <definedName name="Carbs">IF('Meal Manager'!XEY1&gt;0,VLOOKUP('Meal Manager'!XEY1,Food_Database,5,FALSE)*'Meal Manager'!XEZ1/convert,)</definedName>
    <definedName name="Cereals">Info!$B$281:$L$400</definedName>
    <definedName name="convert" localSheetId="2">IF(units="grams",100,3.5273966)</definedName>
    <definedName name="convert" localSheetId="3">IF(units="grams",100,3.5273966)</definedName>
    <definedName name="convert" localSheetId="4">IF(units="grams",100,3.5273966)</definedName>
    <definedName name="convert" localSheetId="5">IF(units="grams",100,3.5273966)</definedName>
    <definedName name="convert">IF(units="grams",100,3.5273966)</definedName>
    <definedName name="Daily.Stats">Stats!$B$2:$O$2</definedName>
    <definedName name="Dairy_Egg">Info!$B$23:$L$62</definedName>
    <definedName name="Data.home">Stats!$A$5</definedName>
    <definedName name="_xlnm.Database">OFFSET(Data.home,1,1,MAX(Stats!$A$2-1,1),14)</definedName>
    <definedName name="Delta1" localSheetId="2">OFFSET(_xlnm.Database,,10,,1)</definedName>
    <definedName name="Delta1" localSheetId="3">OFFSET(_xlnm.Database,,10,,1)</definedName>
    <definedName name="Delta1" localSheetId="4">OFFSET(_xlnm.Database,,10,,1)</definedName>
    <definedName name="Delta1" localSheetId="5">OFFSET(_xlnm.Database,,10,,1)</definedName>
    <definedName name="Delta1">OFFSET(_xlnm.Database,,10,,1)</definedName>
    <definedName name="Delta2" localSheetId="2">OFFSET(_xlnm.Database,,11,,1)</definedName>
    <definedName name="Delta2" localSheetId="3">OFFSET(_xlnm.Database,,11,,1)</definedName>
    <definedName name="Delta2" localSheetId="4">OFFSET(_xlnm.Database,,11,,1)</definedName>
    <definedName name="Delta2" localSheetId="5">OFFSET(_xlnm.Database,,11,,1)</definedName>
    <definedName name="Delta2">OFFSET(_xlnm.Database,,11,,1)</definedName>
    <definedName name="Delta3" localSheetId="2">OFFSET(_xlnm.Database,,12,,1)</definedName>
    <definedName name="Delta3" localSheetId="3">OFFSET(_xlnm.Database,,12,,1)</definedName>
    <definedName name="Delta3" localSheetId="4">OFFSET(_xlnm.Database,,12,,1)</definedName>
    <definedName name="Delta3" localSheetId="5">OFFSET(_xlnm.Database,,12,,1)</definedName>
    <definedName name="Delta3">OFFSET(_xlnm.Database,,12,,1)</definedName>
    <definedName name="Delta4" localSheetId="2">OFFSET(_xlnm.Database,,13,,1)</definedName>
    <definedName name="Delta4" localSheetId="3">OFFSET(_xlnm.Database,,13,,1)</definedName>
    <definedName name="Delta4" localSheetId="4">OFFSET(_xlnm.Database,,13,,1)</definedName>
    <definedName name="Delta4" localSheetId="5">OFFSET(_xlnm.Database,,13,,1)</definedName>
    <definedName name="Delta4">OFFSET(_xlnm.Database,,13,,1)</definedName>
    <definedName name="Ecto" localSheetId="2">'Plan 2'!$K$4:$L$76</definedName>
    <definedName name="Ecto" localSheetId="3">'Plan 3'!$K$4:$L$76</definedName>
    <definedName name="Ecto" localSheetId="4">'Plan 4'!$K$4:$L$76</definedName>
    <definedName name="Ecto" localSheetId="5">'Plan 5'!$K$4:$L$76</definedName>
    <definedName name="Ecto">'Plan 1'!$K$4:$L$76</definedName>
    <definedName name="EctoMeso" localSheetId="2">'Plan 2'!$W$4:$X$76</definedName>
    <definedName name="EctoMeso" localSheetId="3">'Plan 3'!$W$4:$X$76</definedName>
    <definedName name="EctoMeso" localSheetId="4">'Plan 4'!$W$4:$X$76</definedName>
    <definedName name="EctoMeso" localSheetId="5">'Plan 5'!$W$4:$X$76</definedName>
    <definedName name="EctoMeso">'Plan 1'!$W$4:$X$76</definedName>
    <definedName name="Endo" localSheetId="2">'Plan 2'!$O$4:$P$76</definedName>
    <definedName name="Endo" localSheetId="3">'Plan 3'!$O$4:$P$76</definedName>
    <definedName name="Endo" localSheetId="4">'Plan 4'!$O$4:$P$76</definedName>
    <definedName name="Endo" localSheetId="5">'Plan 5'!$O$4:$P$76</definedName>
    <definedName name="Endo">'Plan 1'!$O$4:$P$76</definedName>
    <definedName name="EndoMeso" localSheetId="2">'Plan 2'!$AA$4:$AB$76</definedName>
    <definedName name="EndoMeso" localSheetId="3">'Plan 3'!$AA$4:$AB$76</definedName>
    <definedName name="EndoMeso" localSheetId="4">'Plan 4'!$AA$4:$AB$76</definedName>
    <definedName name="EndoMeso" localSheetId="5">'Plan 5'!$AA$4:$AB$76</definedName>
    <definedName name="EndoMeso">'Plan 1'!$AA$4:$AB$76</definedName>
    <definedName name="Export.home">Export!$A$32</definedName>
    <definedName name="factor">Info!$H$10</definedName>
    <definedName name="Fat" localSheetId="2">IF('Meal Manager'!XFA1&gt;0,VLOOKUP('Meal Manager'!XFA1,Food_Database,4,FALSE)*'Meal Manager'!XFB1/'Plan 2'!convert,)</definedName>
    <definedName name="Fat" localSheetId="3">IF('Meal Manager'!XFA1&gt;0,VLOOKUP('Meal Manager'!XFA1,Food_Database,4,FALSE)*'Meal Manager'!XFB1/'Plan 3'!convert,)</definedName>
    <definedName name="Fat" localSheetId="4">IF('Meal Manager'!XFA1&gt;0,VLOOKUP('Meal Manager'!XFA1,Food_Database,4,FALSE)*'Meal Manager'!XFB1/'Plan 4'!convert,)</definedName>
    <definedName name="Fat" localSheetId="5">IF('Meal Manager'!XFA1&gt;0,VLOOKUP('Meal Manager'!XFA1,Food_Database,4,FALSE)*'Meal Manager'!XFB1/'Plan 5'!convert,)</definedName>
    <definedName name="Fat">IF('Meal Manager'!XEZ1&gt;0,VLOOKUP('Meal Manager'!XEZ1,Food_Database,4,FALSE)*'Meal Manager'!XFA1/convert,)</definedName>
    <definedName name="Fats_oil_dressings">Info!$B$65:$L$111</definedName>
    <definedName name="Fiber" localSheetId="2">IF('Meal Manager'!XEY1&gt;0,VLOOKUP('Meal Manager'!XEY1,Food_Database,6,FALSE)*'Meal Manager'!XEZ1/'Plan 2'!convert,)</definedName>
    <definedName name="Fiber" localSheetId="3">IF('Meal Manager'!XEY1&gt;0,VLOOKUP('Meal Manager'!XEY1,Food_Database,6,FALSE)*'Meal Manager'!XEZ1/'Plan 3'!convert,)</definedName>
    <definedName name="Fiber" localSheetId="4">IF('Meal Manager'!XEY1&gt;0,VLOOKUP('Meal Manager'!XEY1,Food_Database,6,FALSE)*'Meal Manager'!XEZ1/'Plan 4'!convert,)</definedName>
    <definedName name="Fiber" localSheetId="5">IF('Meal Manager'!XEY1&gt;0,VLOOKUP('Meal Manager'!XEY1,Food_Database,6,FALSE)*'Meal Manager'!XEZ1/'Plan 5'!convert,)</definedName>
    <definedName name="Fiber">IF('Meal Manager'!XEX1&gt;0,VLOOKUP('Meal Manager'!XEX1,Food_Database,6,FALSE)*'Meal Manager'!XEY1/convert,)</definedName>
    <definedName name="Fish_Seafood">Info!$B$767:$L$859</definedName>
    <definedName name="Food_Database">Info!$B$23:$L$1004</definedName>
    <definedName name="Foodgroup">'Meal Manager'!$C$25</definedName>
    <definedName name="Foodgroup_db">Info!$F$2</definedName>
    <definedName name="Foodgroups">Info!$E$4:$F$19</definedName>
    <definedName name="Fractional">Info!$N$23:$O$250</definedName>
    <definedName name="Fruit">Info!$B$470:$L$519</definedName>
    <definedName name="Goal">'Meal Manager'!$C$19</definedName>
    <definedName name="HB_factors">Info!$B$4:$C$13</definedName>
    <definedName name="Macronutrients">Info!$H$12:$N$17</definedName>
    <definedName name="Meal.post">Info!$R$3</definedName>
    <definedName name="Meal1">'Meal Manager'!$B$30:$C$36</definedName>
    <definedName name="Meal1.1" localSheetId="2">'Plan 2'!$B$4:$C$10</definedName>
    <definedName name="Meal1.1" localSheetId="3">'Plan 3'!$B$4:$C$10</definedName>
    <definedName name="Meal1.1" localSheetId="4">'Plan 4'!$B$4:$C$10</definedName>
    <definedName name="Meal1.1" localSheetId="5">'Plan 5'!$B$4:$C$10</definedName>
    <definedName name="Meal1.1">'Plan 1'!$B$4:$C$10</definedName>
    <definedName name="Meal2">'Meal Manager'!$B$41:$C$47</definedName>
    <definedName name="Meal2.1" localSheetId="2">'Plan 2'!$B$15:$C$21</definedName>
    <definedName name="Meal2.1" localSheetId="3">'Plan 3'!$B$15:$C$21</definedName>
    <definedName name="Meal2.1" localSheetId="4">'Plan 4'!$B$15:$C$21</definedName>
    <definedName name="Meal2.1" localSheetId="5">'Plan 5'!$B$15:$C$21</definedName>
    <definedName name="Meal2.1">'Plan 1'!$B$15:$C$21</definedName>
    <definedName name="Meal3">'Meal Manager'!$B$52:$C$58</definedName>
    <definedName name="Meal3.1" localSheetId="2">'Plan 2'!$B$26:$C$32</definedName>
    <definedName name="Meal3.1" localSheetId="3">'Plan 3'!$B$26:$C$32</definedName>
    <definedName name="Meal3.1" localSheetId="4">'Plan 4'!$B$26:$C$32</definedName>
    <definedName name="Meal3.1" localSheetId="5">'Plan 5'!$B$26:$C$32</definedName>
    <definedName name="Meal3.1">'Plan 1'!$B$26:$C$32</definedName>
    <definedName name="Meal4">'Meal Manager'!$B$63:$C$69</definedName>
    <definedName name="Meal4.1" localSheetId="2">'Plan 2'!$B$37:$C$43</definedName>
    <definedName name="Meal4.1" localSheetId="3">'Plan 3'!$B$37:$C$43</definedName>
    <definedName name="Meal4.1" localSheetId="4">'Plan 4'!$B$37:$C$43</definedName>
    <definedName name="Meal4.1" localSheetId="5">'Plan 5'!$B$37:$C$43</definedName>
    <definedName name="Meal4.1">'Plan 1'!$B$37:$C$43</definedName>
    <definedName name="Meal5">'Meal Manager'!$K$30:$L$36</definedName>
    <definedName name="Meal5.1" localSheetId="2">'Plan 2'!$B$48:$C$54</definedName>
    <definedName name="Meal5.1" localSheetId="3">'Plan 3'!$B$48:$C$54</definedName>
    <definedName name="Meal5.1" localSheetId="4">'Plan 4'!$B$48:$C$54</definedName>
    <definedName name="Meal5.1" localSheetId="5">'Plan 5'!$B$48:$C$54</definedName>
    <definedName name="Meal5.1">'Plan 1'!$B$48:$C$54</definedName>
    <definedName name="Meal6">'Meal Manager'!$K$41:$L$47</definedName>
    <definedName name="Meal6.1" localSheetId="2">'Plan 2'!$B$59:$C$65</definedName>
    <definedName name="Meal6.1" localSheetId="3">'Plan 3'!$B$59:$C$65</definedName>
    <definedName name="Meal6.1" localSheetId="4">'Plan 4'!$B$59:$C$65</definedName>
    <definedName name="Meal6.1" localSheetId="5">'Plan 5'!$B$59:$C$65</definedName>
    <definedName name="Meal6.1">'Plan 1'!$B$59:$C$65</definedName>
    <definedName name="Meal7">'Meal Manager'!$K$52:$R$58</definedName>
    <definedName name="Measure">IF('Meal Manager'!XFC1&gt;0,TEXT(Amount,IF(Amount&lt;1,"?/?",IF(Amount=TRUNC(Amount),"# ","# ?/?")))&amp; " "&amp;VLOOKUP('Meal Manager'!XFC1,Food_Database,11,FALSE),)</definedName>
    <definedName name="Meat">Info!$B$712:$L$764</definedName>
    <definedName name="Meso" localSheetId="2">'Plan 2'!$S$4:$T$76</definedName>
    <definedName name="Meso" localSheetId="3">'Plan 3'!$S$4:$T$76</definedName>
    <definedName name="Meso" localSheetId="4">'Plan 4'!$S$4:$T$76</definedName>
    <definedName name="Meso" localSheetId="5">'Plan 5'!$S$4:$T$76</definedName>
    <definedName name="Meso">'Plan 1'!$S$4:$T$76</definedName>
    <definedName name="Next.entry">Stats!$A$2</definedName>
    <definedName name="Nuts_Seeds">Info!$B$683:$L$709</definedName>
    <definedName name="Off_day">'Meal Manager'!$C$15="Off day"</definedName>
    <definedName name="Pasta">Info!$B$448:$L$467</definedName>
    <definedName name="Pork">Info!$B$862:$L$886</definedName>
    <definedName name="Poultry">Info!$B$114:$L$154</definedName>
    <definedName name="Processed_Meat">Info!$B$218:$L$278</definedName>
    <definedName name="Protein" localSheetId="2">IF('Meal Manager'!XFB1&gt;0,VLOOKUP('Meal Manager'!XFB1,Food_Database,3,FALSE)*'Meal Manager'!XFC1/'Plan 2'!convert,)</definedName>
    <definedName name="Protein" localSheetId="3">IF('Meal Manager'!XFB1&gt;0,VLOOKUP('Meal Manager'!XFB1,Food_Database,3,FALSE)*'Meal Manager'!XFC1/'Plan 3'!convert,)</definedName>
    <definedName name="Protein" localSheetId="4">IF('Meal Manager'!XFB1&gt;0,VLOOKUP('Meal Manager'!XFB1,Food_Database,3,FALSE)*'Meal Manager'!XFC1/'Plan 4'!convert,)</definedName>
    <definedName name="Protein" localSheetId="5">IF('Meal Manager'!XFB1&gt;0,VLOOKUP('Meal Manager'!XFB1,Food_Database,3,FALSE)*'Meal Manager'!XFC1/'Plan 5'!convert,)</definedName>
    <definedName name="Protein">IF('Meal Manager'!XFA1&gt;0,VLOOKUP('Meal Manager'!XFA1,Food_Database,3,FALSE)*'Meal Manager'!XFB1/convert,)</definedName>
    <definedName name="Schedule">Info!$P$4:$P$8</definedName>
    <definedName name="Snacks_sweets">Info!$B$889:$L$1004</definedName>
    <definedName name="Soups_Sauces">Info!$B$157:$L$215</definedName>
    <definedName name="Target">'Meal Manager'!$C$21</definedName>
    <definedName name="Target1" localSheetId="2">OFFSET(_xlnm.Database,,1,,1)</definedName>
    <definedName name="Target1" localSheetId="3">OFFSET(_xlnm.Database,,1,,1)</definedName>
    <definedName name="Target1" localSheetId="4">OFFSET(_xlnm.Database,,1,,1)</definedName>
    <definedName name="Target1" localSheetId="5">OFFSET(_xlnm.Database,,1,,1)</definedName>
    <definedName name="Target1">OFFSET(_xlnm.Database,,1,,1)</definedName>
    <definedName name="Target2" localSheetId="2">OFFSET(_xlnm.Database,,2,,1)</definedName>
    <definedName name="Target2" localSheetId="3">OFFSET(_xlnm.Database,,2,,1)</definedName>
    <definedName name="Target2" localSheetId="4">OFFSET(_xlnm.Database,,2,,1)</definedName>
    <definedName name="Target2" localSheetId="5">OFFSET(_xlnm.Database,,2,,1)</definedName>
    <definedName name="Target3" localSheetId="2">OFFSET(_xlnm.Database,,3,,1)</definedName>
    <definedName name="Target3" localSheetId="3">OFFSET(_xlnm.Database,,3,,1)</definedName>
    <definedName name="Target3" localSheetId="4">OFFSET(_xlnm.Database,,3,,1)</definedName>
    <definedName name="Target3" localSheetId="5">OFFSET(_xlnm.Database,,3,,1)</definedName>
    <definedName name="Target4" localSheetId="2">OFFSET(_xlnm.Database,,4,,1)</definedName>
    <definedName name="Target4" localSheetId="3">OFFSET(_xlnm.Database,,4,,1)</definedName>
    <definedName name="Target4" localSheetId="4">OFFSET(_xlnm.Database,,4,,1)</definedName>
    <definedName name="Target4" localSheetId="5">OFFSET(_xlnm.Database,,4,,1)</definedName>
    <definedName name="TargetResult">OFFSET(Export!$A$35,,1,MAX(COUNTA(Export!$A:$A)-2,1),)</definedName>
    <definedName name="units">'Meal Manager'!$H$21</definedName>
    <definedName name="Vegetables">Info!$B$587:$L$680</definedName>
    <definedName name="WaterIntake">'Meal Manager'!$N$23</definedName>
    <definedName name="Weight1">OFFSET(_xlnm.Database,,9,,1)</definedName>
    <definedName name="WeightResult">OFFSET(Export!$A$35,,9,MAX(COUNTA(Export!$A:$A)-2,1),)</definedName>
    <definedName name="Xaxis" localSheetId="2">OFFSET(_xlnm.Database,,,,1)</definedName>
    <definedName name="Xaxis" localSheetId="3">OFFSET(_xlnm.Database,,,,1)</definedName>
    <definedName name="Xaxis" localSheetId="4">OFFSET(_xlnm.Database,,,,1)</definedName>
    <definedName name="Xaxis" localSheetId="5">OFFSET(_xlnm.Database,,,,1)</definedName>
    <definedName name="Xaxis">OFFSET(_xlnm.Database,,,,1)</definedName>
    <definedName name="XResult">OFFSET(Export!$A$35,,,MAX(COUNTA(Export!$A:$A)-2,1),)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L2" i="3" l="1"/>
  <c r="I2" i="3"/>
  <c r="Q4" i="11"/>
  <c r="Q5" i="11"/>
  <c r="Q6" i="11"/>
  <c r="Q7" i="11"/>
  <c r="Q8" i="11"/>
  <c r="Q9" i="11"/>
  <c r="Q10" i="11"/>
  <c r="P69" i="11"/>
  <c r="P58" i="11"/>
  <c r="P47" i="11"/>
  <c r="P36" i="11"/>
  <c r="P25" i="11"/>
  <c r="P14" i="11"/>
  <c r="P3" i="11"/>
  <c r="Q15" i="11"/>
  <c r="Q16" i="11"/>
  <c r="Q17" i="11"/>
  <c r="Q18" i="11"/>
  <c r="Q19" i="11"/>
  <c r="Q20" i="11"/>
  <c r="Q21" i="11"/>
  <c r="Q26" i="11"/>
  <c r="Q27" i="11"/>
  <c r="Q28" i="11"/>
  <c r="Q29" i="11"/>
  <c r="Q30" i="11"/>
  <c r="Q31" i="11"/>
  <c r="Q32" i="11"/>
  <c r="Q37" i="11"/>
  <c r="Q38" i="11"/>
  <c r="Q39" i="11"/>
  <c r="Q40" i="11"/>
  <c r="Q41" i="11"/>
  <c r="Q42" i="11"/>
  <c r="Q43" i="11"/>
  <c r="Q48" i="11"/>
  <c r="Q49" i="11"/>
  <c r="Q50" i="11"/>
  <c r="Q51" i="11"/>
  <c r="Q52" i="11"/>
  <c r="Q53" i="11"/>
  <c r="Q54" i="11"/>
  <c r="Q59" i="11"/>
  <c r="Q60" i="11"/>
  <c r="Q61" i="11"/>
  <c r="Q62" i="11"/>
  <c r="Q63" i="11"/>
  <c r="Q64" i="11"/>
  <c r="Q65" i="11"/>
  <c r="Q70" i="11"/>
  <c r="Q71" i="11"/>
  <c r="Q72" i="11"/>
  <c r="Q73" i="11"/>
  <c r="Q74" i="11"/>
  <c r="Q75" i="11"/>
  <c r="Q76" i="11"/>
  <c r="R3" i="3"/>
  <c r="H19" i="2"/>
  <c r="D69" i="11"/>
  <c r="D58" i="11"/>
  <c r="D47" i="11"/>
  <c r="D36" i="11"/>
  <c r="D25" i="11"/>
  <c r="D14" i="11"/>
  <c r="D3" i="11"/>
  <c r="Q4" i="12"/>
  <c r="Q5" i="12"/>
  <c r="Q6" i="12"/>
  <c r="Q7" i="12"/>
  <c r="Q8" i="12"/>
  <c r="Q9" i="12"/>
  <c r="Q10" i="12"/>
  <c r="Q15" i="12"/>
  <c r="Q16" i="12"/>
  <c r="Q17" i="12"/>
  <c r="Q18" i="12"/>
  <c r="Q19" i="12"/>
  <c r="Q20" i="12"/>
  <c r="Q21" i="12"/>
  <c r="Q26" i="12"/>
  <c r="Q27" i="12"/>
  <c r="Q28" i="12"/>
  <c r="Q29" i="12"/>
  <c r="Q30" i="12"/>
  <c r="Q31" i="12"/>
  <c r="Q32" i="12"/>
  <c r="Q37" i="12"/>
  <c r="Q38" i="12"/>
  <c r="Q39" i="12"/>
  <c r="Q40" i="12"/>
  <c r="Q41" i="12"/>
  <c r="Q42" i="12"/>
  <c r="Q43" i="12"/>
  <c r="Q48" i="12"/>
  <c r="Q49" i="12"/>
  <c r="Q50" i="12"/>
  <c r="Q51" i="12"/>
  <c r="Q52" i="12"/>
  <c r="Q53" i="12"/>
  <c r="Q54" i="12"/>
  <c r="Q59" i="12"/>
  <c r="Q60" i="12"/>
  <c r="Q61" i="12"/>
  <c r="Q62" i="12"/>
  <c r="Q63" i="12"/>
  <c r="Q64" i="12"/>
  <c r="Q65" i="12"/>
  <c r="P69" i="12"/>
  <c r="P58" i="12"/>
  <c r="P47" i="12"/>
  <c r="P36" i="12"/>
  <c r="P25" i="12"/>
  <c r="P14" i="12"/>
  <c r="P3" i="12"/>
  <c r="Q70" i="12"/>
  <c r="Q71" i="12"/>
  <c r="Q72" i="12"/>
  <c r="Q73" i="12"/>
  <c r="Q74" i="12"/>
  <c r="Q75" i="12"/>
  <c r="Q76" i="12"/>
  <c r="D69" i="12"/>
  <c r="D58" i="12"/>
  <c r="D47" i="12"/>
  <c r="D36" i="12"/>
  <c r="D25" i="12"/>
  <c r="D14" i="12"/>
  <c r="D3" i="12"/>
  <c r="Q4" i="13"/>
  <c r="Q5" i="13"/>
  <c r="Q6" i="13"/>
  <c r="Q7" i="13"/>
  <c r="Q8" i="13"/>
  <c r="Q9" i="13"/>
  <c r="Q10" i="13"/>
  <c r="P69" i="13"/>
  <c r="P58" i="13"/>
  <c r="P47" i="13"/>
  <c r="P36" i="13"/>
  <c r="P25" i="13"/>
  <c r="P14" i="13"/>
  <c r="P3" i="13"/>
  <c r="Q15" i="13"/>
  <c r="Q16" i="13"/>
  <c r="Q17" i="13"/>
  <c r="Q18" i="13"/>
  <c r="Q19" i="13"/>
  <c r="Q20" i="13"/>
  <c r="Q21" i="13"/>
  <c r="Q26" i="13"/>
  <c r="Q27" i="13"/>
  <c r="Q28" i="13"/>
  <c r="Q29" i="13"/>
  <c r="Q30" i="13"/>
  <c r="Q31" i="13"/>
  <c r="Q32" i="13"/>
  <c r="Q37" i="13"/>
  <c r="Q38" i="13"/>
  <c r="Q39" i="13"/>
  <c r="Q40" i="13"/>
  <c r="Q41" i="13"/>
  <c r="Q42" i="13"/>
  <c r="Q43" i="13"/>
  <c r="Q48" i="13"/>
  <c r="Q49" i="13"/>
  <c r="Q50" i="13"/>
  <c r="Q51" i="13"/>
  <c r="Q52" i="13"/>
  <c r="Q53" i="13"/>
  <c r="Q54" i="13"/>
  <c r="Q59" i="13"/>
  <c r="Q60" i="13"/>
  <c r="Q61" i="13"/>
  <c r="Q62" i="13"/>
  <c r="Q63" i="13"/>
  <c r="Q64" i="13"/>
  <c r="Q65" i="13"/>
  <c r="Q70" i="13"/>
  <c r="Q71" i="13"/>
  <c r="Q72" i="13"/>
  <c r="Q73" i="13"/>
  <c r="Q74" i="13"/>
  <c r="Q75" i="13"/>
  <c r="Q76" i="13"/>
  <c r="D69" i="13"/>
  <c r="D58" i="13"/>
  <c r="D47" i="13"/>
  <c r="D36" i="13"/>
  <c r="D25" i="13"/>
  <c r="D14" i="13"/>
  <c r="D3" i="13"/>
  <c r="Q4" i="8"/>
  <c r="Q5" i="8"/>
  <c r="Q6" i="8"/>
  <c r="Q7" i="8"/>
  <c r="Q8" i="8"/>
  <c r="Q9" i="8"/>
  <c r="Q10" i="8"/>
  <c r="P69" i="8"/>
  <c r="P58" i="8"/>
  <c r="P47" i="8"/>
  <c r="P36" i="8"/>
  <c r="P25" i="8"/>
  <c r="P14" i="8"/>
  <c r="P3" i="8"/>
  <c r="Q15" i="8"/>
  <c r="Q16" i="8"/>
  <c r="Q17" i="8"/>
  <c r="Q18" i="8"/>
  <c r="Q19" i="8"/>
  <c r="Q20" i="8"/>
  <c r="Q21" i="8"/>
  <c r="Q26" i="8"/>
  <c r="Q27" i="8"/>
  <c r="Q28" i="8"/>
  <c r="Q29" i="8"/>
  <c r="Q30" i="8"/>
  <c r="Q31" i="8"/>
  <c r="Q32" i="8"/>
  <c r="Q37" i="8"/>
  <c r="Q38" i="8"/>
  <c r="Q39" i="8"/>
  <c r="Q40" i="8"/>
  <c r="Q41" i="8"/>
  <c r="Q42" i="8"/>
  <c r="Q43" i="8"/>
  <c r="Q48" i="8"/>
  <c r="Q49" i="8"/>
  <c r="Q50" i="8"/>
  <c r="Q51" i="8"/>
  <c r="Q52" i="8"/>
  <c r="Q53" i="8"/>
  <c r="Q54" i="8"/>
  <c r="Q59" i="8"/>
  <c r="Q60" i="8"/>
  <c r="Q61" i="8"/>
  <c r="Q62" i="8"/>
  <c r="Q63" i="8"/>
  <c r="Q64" i="8"/>
  <c r="Q65" i="8"/>
  <c r="Q70" i="8"/>
  <c r="Q71" i="8"/>
  <c r="Q72" i="8"/>
  <c r="Q73" i="8"/>
  <c r="Q74" i="8"/>
  <c r="Q75" i="8"/>
  <c r="Q76" i="8"/>
  <c r="D69" i="8"/>
  <c r="D58" i="8"/>
  <c r="D47" i="8"/>
  <c r="D36" i="8"/>
  <c r="D25" i="8"/>
  <c r="D14" i="8"/>
  <c r="D3" i="8"/>
  <c r="Q4" i="5"/>
  <c r="Q5" i="5"/>
  <c r="Q6" i="5"/>
  <c r="Q7" i="5"/>
  <c r="Q8" i="5"/>
  <c r="Q9" i="5"/>
  <c r="Q10" i="5"/>
  <c r="P69" i="5"/>
  <c r="P58" i="5"/>
  <c r="P47" i="5"/>
  <c r="P36" i="5"/>
  <c r="P25" i="5"/>
  <c r="P14" i="5"/>
  <c r="P3" i="5"/>
  <c r="Q15" i="5"/>
  <c r="Q16" i="5"/>
  <c r="Q17" i="5"/>
  <c r="Q18" i="5"/>
  <c r="Q19" i="5"/>
  <c r="Q20" i="5"/>
  <c r="Q21" i="5"/>
  <c r="Q26" i="5"/>
  <c r="Q27" i="5"/>
  <c r="Q28" i="5"/>
  <c r="Q29" i="5"/>
  <c r="Q30" i="5"/>
  <c r="Q31" i="5"/>
  <c r="Q32" i="5"/>
  <c r="Q37" i="5"/>
  <c r="Q38" i="5"/>
  <c r="Q39" i="5"/>
  <c r="Q40" i="5"/>
  <c r="Q41" i="5"/>
  <c r="Q42" i="5"/>
  <c r="Q43" i="5"/>
  <c r="Q48" i="5"/>
  <c r="Q49" i="5"/>
  <c r="Q50" i="5"/>
  <c r="Q51" i="5"/>
  <c r="Q52" i="5"/>
  <c r="Q53" i="5"/>
  <c r="Q54" i="5"/>
  <c r="Q59" i="5"/>
  <c r="Q60" i="5"/>
  <c r="Q61" i="5"/>
  <c r="Q62" i="5"/>
  <c r="Q63" i="5"/>
  <c r="Q64" i="5"/>
  <c r="Q65" i="5"/>
  <c r="Q70" i="5"/>
  <c r="Q71" i="5"/>
  <c r="Q72" i="5"/>
  <c r="Q73" i="5"/>
  <c r="Q74" i="5"/>
  <c r="Q75" i="5"/>
  <c r="Q76" i="5"/>
  <c r="D69" i="5"/>
  <c r="D58" i="5"/>
  <c r="D47" i="5"/>
  <c r="D36" i="5"/>
  <c r="D25" i="5"/>
  <c r="D14" i="5"/>
  <c r="D3" i="5"/>
  <c r="M4" i="5"/>
  <c r="M5" i="5"/>
  <c r="M6" i="5"/>
  <c r="M7" i="5"/>
  <c r="M8" i="5"/>
  <c r="M9" i="5"/>
  <c r="M10" i="5"/>
  <c r="L69" i="5"/>
  <c r="L58" i="5"/>
  <c r="L47" i="5"/>
  <c r="L36" i="5"/>
  <c r="L25" i="5"/>
  <c r="L14" i="5"/>
  <c r="L3" i="5"/>
  <c r="M15" i="5"/>
  <c r="M16" i="5"/>
  <c r="M17" i="5"/>
  <c r="M18" i="5"/>
  <c r="M19" i="5"/>
  <c r="M20" i="5"/>
  <c r="M21" i="5"/>
  <c r="M26" i="5"/>
  <c r="M27" i="5"/>
  <c r="M28" i="5"/>
  <c r="M29" i="5"/>
  <c r="M30" i="5"/>
  <c r="M31" i="5"/>
  <c r="M32" i="5"/>
  <c r="M37" i="5"/>
  <c r="M38" i="5"/>
  <c r="M39" i="5"/>
  <c r="M40" i="5"/>
  <c r="M41" i="5"/>
  <c r="M42" i="5"/>
  <c r="M43" i="5"/>
  <c r="M48" i="5"/>
  <c r="M49" i="5"/>
  <c r="M50" i="5"/>
  <c r="M51" i="5"/>
  <c r="M52" i="5"/>
  <c r="M53" i="5"/>
  <c r="M54" i="5"/>
  <c r="M59" i="5"/>
  <c r="M60" i="5"/>
  <c r="M61" i="5"/>
  <c r="M62" i="5"/>
  <c r="M63" i="5"/>
  <c r="M64" i="5"/>
  <c r="M65" i="5"/>
  <c r="M70" i="5"/>
  <c r="M71" i="5"/>
  <c r="M72" i="5"/>
  <c r="M73" i="5"/>
  <c r="M74" i="5"/>
  <c r="M75" i="5"/>
  <c r="M76" i="5"/>
  <c r="AC4" i="5"/>
  <c r="AC5" i="5"/>
  <c r="AC6" i="5"/>
  <c r="AC7" i="5"/>
  <c r="AC8" i="5"/>
  <c r="AC9" i="5"/>
  <c r="AC10" i="5"/>
  <c r="AB69" i="5"/>
  <c r="AB58" i="5"/>
  <c r="AB47" i="5"/>
  <c r="AB36" i="5"/>
  <c r="AB25" i="5"/>
  <c r="AB14" i="5"/>
  <c r="AB3" i="5"/>
  <c r="AC15" i="5"/>
  <c r="AC16" i="5"/>
  <c r="AC17" i="5"/>
  <c r="AC18" i="5"/>
  <c r="AC19" i="5"/>
  <c r="AC20" i="5"/>
  <c r="AC21" i="5"/>
  <c r="AC26" i="5"/>
  <c r="AC27" i="5"/>
  <c r="AC28" i="5"/>
  <c r="AC29" i="5"/>
  <c r="AC30" i="5"/>
  <c r="AC31" i="5"/>
  <c r="AC32" i="5"/>
  <c r="AC37" i="5"/>
  <c r="AC38" i="5"/>
  <c r="AC39" i="5"/>
  <c r="AC40" i="5"/>
  <c r="AC41" i="5"/>
  <c r="AC42" i="5"/>
  <c r="AC43" i="5"/>
  <c r="AC48" i="5"/>
  <c r="AC49" i="5"/>
  <c r="AC50" i="5"/>
  <c r="AC51" i="5"/>
  <c r="AC52" i="5"/>
  <c r="AC53" i="5"/>
  <c r="AC54" i="5"/>
  <c r="AC59" i="5"/>
  <c r="AC60" i="5"/>
  <c r="AC61" i="5"/>
  <c r="AC62" i="5"/>
  <c r="AC63" i="5"/>
  <c r="AC64" i="5"/>
  <c r="AC65" i="5"/>
  <c r="AC70" i="5"/>
  <c r="AC71" i="5"/>
  <c r="AC72" i="5"/>
  <c r="AC73" i="5"/>
  <c r="AC74" i="5"/>
  <c r="AC75" i="5"/>
  <c r="AC76" i="5"/>
  <c r="Y4" i="5"/>
  <c r="Y5" i="5"/>
  <c r="Y6" i="5"/>
  <c r="Y7" i="5"/>
  <c r="Y8" i="5"/>
  <c r="Y9" i="5"/>
  <c r="Y10" i="5"/>
  <c r="X69" i="5"/>
  <c r="X58" i="5"/>
  <c r="X47" i="5"/>
  <c r="X36" i="5"/>
  <c r="X25" i="5"/>
  <c r="X14" i="5"/>
  <c r="X3" i="5"/>
  <c r="Y15" i="5"/>
  <c r="Y16" i="5"/>
  <c r="Y17" i="5"/>
  <c r="Y18" i="5"/>
  <c r="Y19" i="5"/>
  <c r="Y20" i="5"/>
  <c r="Y21" i="5"/>
  <c r="Y26" i="5"/>
  <c r="Y27" i="5"/>
  <c r="Y28" i="5"/>
  <c r="Y29" i="5"/>
  <c r="Y30" i="5"/>
  <c r="Y31" i="5"/>
  <c r="Y32" i="5"/>
  <c r="Y37" i="5"/>
  <c r="Y38" i="5"/>
  <c r="Y39" i="5"/>
  <c r="Y40" i="5"/>
  <c r="Y41" i="5"/>
  <c r="Y42" i="5"/>
  <c r="Y43" i="5"/>
  <c r="Y48" i="5"/>
  <c r="Y49" i="5"/>
  <c r="Y50" i="5"/>
  <c r="Y51" i="5"/>
  <c r="Y52" i="5"/>
  <c r="Y53" i="5"/>
  <c r="Y54" i="5"/>
  <c r="Y59" i="5"/>
  <c r="Y60" i="5"/>
  <c r="Y61" i="5"/>
  <c r="Y62" i="5"/>
  <c r="Y63" i="5"/>
  <c r="Y64" i="5"/>
  <c r="Y65" i="5"/>
  <c r="Y70" i="5"/>
  <c r="Y71" i="5"/>
  <c r="Y72" i="5"/>
  <c r="Y73" i="5"/>
  <c r="Y74" i="5"/>
  <c r="Y75" i="5"/>
  <c r="Y76" i="5"/>
  <c r="U4" i="5"/>
  <c r="U5" i="5"/>
  <c r="U6" i="5"/>
  <c r="U7" i="5"/>
  <c r="U8" i="5"/>
  <c r="U9" i="5"/>
  <c r="U10" i="5"/>
  <c r="T69" i="5"/>
  <c r="T58" i="5"/>
  <c r="T47" i="5"/>
  <c r="T36" i="5"/>
  <c r="T25" i="5"/>
  <c r="T14" i="5"/>
  <c r="T3" i="5"/>
  <c r="U15" i="5"/>
  <c r="U16" i="5"/>
  <c r="U17" i="5"/>
  <c r="U18" i="5"/>
  <c r="U19" i="5"/>
  <c r="U20" i="5"/>
  <c r="U21" i="5"/>
  <c r="U26" i="5"/>
  <c r="U27" i="5"/>
  <c r="U28" i="5"/>
  <c r="U29" i="5"/>
  <c r="U30" i="5"/>
  <c r="U31" i="5"/>
  <c r="U32" i="5"/>
  <c r="U37" i="5"/>
  <c r="U38" i="5"/>
  <c r="U39" i="5"/>
  <c r="U40" i="5"/>
  <c r="U41" i="5"/>
  <c r="U42" i="5"/>
  <c r="U43" i="5"/>
  <c r="U48" i="5"/>
  <c r="U49" i="5"/>
  <c r="U50" i="5"/>
  <c r="U51" i="5"/>
  <c r="U52" i="5"/>
  <c r="U53" i="5"/>
  <c r="U54" i="5"/>
  <c r="U59" i="5"/>
  <c r="U60" i="5"/>
  <c r="U61" i="5"/>
  <c r="U62" i="5"/>
  <c r="U63" i="5"/>
  <c r="U64" i="5"/>
  <c r="U65" i="5"/>
  <c r="U70" i="5"/>
  <c r="U71" i="5"/>
  <c r="U72" i="5"/>
  <c r="U73" i="5"/>
  <c r="U74" i="5"/>
  <c r="U75" i="5"/>
  <c r="U76" i="5"/>
  <c r="AC4" i="11"/>
  <c r="AC5" i="11"/>
  <c r="AC6" i="11"/>
  <c r="AC7" i="11"/>
  <c r="AC8" i="11"/>
  <c r="AC9" i="11"/>
  <c r="AC10" i="11"/>
  <c r="AB69" i="11"/>
  <c r="AB58" i="11"/>
  <c r="AB47" i="11"/>
  <c r="AB36" i="11"/>
  <c r="AB25" i="11"/>
  <c r="AB14" i="11"/>
  <c r="AB3" i="11"/>
  <c r="AC15" i="11"/>
  <c r="AC16" i="11"/>
  <c r="AC17" i="11"/>
  <c r="AC18" i="11"/>
  <c r="AC19" i="11"/>
  <c r="AC20" i="11"/>
  <c r="AC21" i="11"/>
  <c r="AC26" i="11"/>
  <c r="AC27" i="11"/>
  <c r="AC28" i="11"/>
  <c r="AC29" i="11"/>
  <c r="AC30" i="11"/>
  <c r="AC31" i="11"/>
  <c r="AC32" i="11"/>
  <c r="AC37" i="11"/>
  <c r="AC38" i="11"/>
  <c r="AC39" i="11"/>
  <c r="AC40" i="11"/>
  <c r="AC41" i="11"/>
  <c r="AC42" i="11"/>
  <c r="AC43" i="11"/>
  <c r="AC48" i="11"/>
  <c r="AC49" i="11"/>
  <c r="AC50" i="11"/>
  <c r="AC51" i="11"/>
  <c r="AC52" i="11"/>
  <c r="AC53" i="11"/>
  <c r="AC54" i="11"/>
  <c r="AC59" i="11"/>
  <c r="AC60" i="11"/>
  <c r="AC61" i="11"/>
  <c r="AC62" i="11"/>
  <c r="AC63" i="11"/>
  <c r="AC64" i="11"/>
  <c r="AC65" i="11"/>
  <c r="AC70" i="11"/>
  <c r="AC71" i="11"/>
  <c r="AC72" i="11"/>
  <c r="AC73" i="11"/>
  <c r="AC74" i="11"/>
  <c r="AC75" i="11"/>
  <c r="AC76" i="11"/>
  <c r="Y4" i="11"/>
  <c r="Y5" i="11"/>
  <c r="Y6" i="11"/>
  <c r="Y7" i="11"/>
  <c r="Y8" i="11"/>
  <c r="Y9" i="11"/>
  <c r="Y10" i="11"/>
  <c r="X69" i="11"/>
  <c r="X58" i="11"/>
  <c r="X47" i="11"/>
  <c r="X36" i="11"/>
  <c r="X25" i="11"/>
  <c r="X14" i="11"/>
  <c r="X3" i="11"/>
  <c r="Y15" i="11"/>
  <c r="Y16" i="11"/>
  <c r="Y17" i="11"/>
  <c r="Y18" i="11"/>
  <c r="Y19" i="11"/>
  <c r="Y20" i="11"/>
  <c r="Y21" i="11"/>
  <c r="Y26" i="11"/>
  <c r="Y27" i="11"/>
  <c r="Y28" i="11"/>
  <c r="Y29" i="11"/>
  <c r="Y23" i="11" s="1"/>
  <c r="Y30" i="11"/>
  <c r="Y31" i="11"/>
  <c r="Y32" i="11"/>
  <c r="Y37" i="11"/>
  <c r="Y38" i="11"/>
  <c r="Y39" i="11"/>
  <c r="Y40" i="11"/>
  <c r="Y41" i="11"/>
  <c r="Y42" i="11"/>
  <c r="Y43" i="11"/>
  <c r="Y48" i="11"/>
  <c r="Y49" i="11"/>
  <c r="Y50" i="11"/>
  <c r="Y51" i="11"/>
  <c r="Y52" i="11"/>
  <c r="Y53" i="11"/>
  <c r="Y54" i="11"/>
  <c r="Y59" i="11"/>
  <c r="Y60" i="11"/>
  <c r="Y61" i="11"/>
  <c r="Y62" i="11"/>
  <c r="Y63" i="11"/>
  <c r="Y64" i="11"/>
  <c r="Y65" i="11"/>
  <c r="Y70" i="11"/>
  <c r="Y71" i="11"/>
  <c r="Y72" i="11"/>
  <c r="Y73" i="11"/>
  <c r="Y67" i="11" s="1"/>
  <c r="Y74" i="11"/>
  <c r="Y75" i="11"/>
  <c r="Y76" i="11"/>
  <c r="U4" i="11"/>
  <c r="U5" i="11"/>
  <c r="U6" i="11"/>
  <c r="U7" i="11"/>
  <c r="U8" i="11"/>
  <c r="U9" i="11"/>
  <c r="U10" i="11"/>
  <c r="T69" i="11"/>
  <c r="T58" i="11"/>
  <c r="T47" i="11"/>
  <c r="T36" i="11"/>
  <c r="T25" i="11"/>
  <c r="T14" i="11"/>
  <c r="T3" i="11"/>
  <c r="U15" i="11"/>
  <c r="U16" i="11"/>
  <c r="U17" i="11"/>
  <c r="U18" i="11"/>
  <c r="U19" i="11"/>
  <c r="U20" i="11"/>
  <c r="U21" i="11"/>
  <c r="U26" i="11"/>
  <c r="U27" i="11"/>
  <c r="U28" i="11"/>
  <c r="U29" i="11"/>
  <c r="U30" i="11"/>
  <c r="U31" i="11"/>
  <c r="U32" i="11"/>
  <c r="U37" i="11"/>
  <c r="U38" i="11"/>
  <c r="U39" i="11"/>
  <c r="U40" i="11"/>
  <c r="U41" i="11"/>
  <c r="U42" i="11"/>
  <c r="U43" i="11"/>
  <c r="U48" i="11"/>
  <c r="U49" i="11"/>
  <c r="U50" i="11"/>
  <c r="U51" i="11"/>
  <c r="U52" i="11"/>
  <c r="U53" i="11"/>
  <c r="U54" i="11"/>
  <c r="U59" i="11"/>
  <c r="U60" i="11"/>
  <c r="U61" i="11"/>
  <c r="U62" i="11"/>
  <c r="U63" i="11"/>
  <c r="U64" i="11"/>
  <c r="U65" i="11"/>
  <c r="U70" i="11"/>
  <c r="U71" i="11"/>
  <c r="U72" i="11"/>
  <c r="U73" i="11"/>
  <c r="U74" i="11"/>
  <c r="U75" i="11"/>
  <c r="U76" i="11"/>
  <c r="AC4" i="12"/>
  <c r="AC5" i="12"/>
  <c r="AC6" i="12"/>
  <c r="AC7" i="12"/>
  <c r="AC8" i="12"/>
  <c r="AC9" i="12"/>
  <c r="AC10" i="12"/>
  <c r="AB69" i="12"/>
  <c r="AB58" i="12"/>
  <c r="AB47" i="12"/>
  <c r="AB36" i="12"/>
  <c r="AB25" i="12"/>
  <c r="AB14" i="12"/>
  <c r="AB3" i="12"/>
  <c r="AC15" i="12"/>
  <c r="AC16" i="12"/>
  <c r="AC17" i="12"/>
  <c r="AC18" i="12"/>
  <c r="AC19" i="12"/>
  <c r="AC20" i="12"/>
  <c r="AC21" i="12"/>
  <c r="AC26" i="12"/>
  <c r="AC27" i="12"/>
  <c r="AC28" i="12"/>
  <c r="AC29" i="12"/>
  <c r="AC30" i="12"/>
  <c r="AC31" i="12"/>
  <c r="AC32" i="12"/>
  <c r="AC37" i="12"/>
  <c r="AC38" i="12"/>
  <c r="AC39" i="12"/>
  <c r="AC40" i="12"/>
  <c r="AC41" i="12"/>
  <c r="AC42" i="12"/>
  <c r="AC43" i="12"/>
  <c r="AC48" i="12"/>
  <c r="AC49" i="12"/>
  <c r="AC50" i="12"/>
  <c r="AC51" i="12"/>
  <c r="AC52" i="12"/>
  <c r="AC53" i="12"/>
  <c r="AC54" i="12"/>
  <c r="AC59" i="12"/>
  <c r="AC60" i="12"/>
  <c r="AC61" i="12"/>
  <c r="AC62" i="12"/>
  <c r="AC63" i="12"/>
  <c r="AC64" i="12"/>
  <c r="AC65" i="12"/>
  <c r="AC70" i="12"/>
  <c r="AC71" i="12"/>
  <c r="AC72" i="12"/>
  <c r="AC73" i="12"/>
  <c r="AC74" i="12"/>
  <c r="AC75" i="12"/>
  <c r="AC76" i="12"/>
  <c r="Y4" i="12"/>
  <c r="Y5" i="12"/>
  <c r="Y6" i="12"/>
  <c r="Y7" i="12"/>
  <c r="Y8" i="12"/>
  <c r="Y9" i="12"/>
  <c r="Y10" i="12"/>
  <c r="X69" i="12"/>
  <c r="X58" i="12"/>
  <c r="X47" i="12"/>
  <c r="X36" i="12"/>
  <c r="X25" i="12"/>
  <c r="X14" i="12"/>
  <c r="X3" i="12"/>
  <c r="Y15" i="12"/>
  <c r="Y16" i="12"/>
  <c r="Y17" i="12"/>
  <c r="Y18" i="12"/>
  <c r="Y19" i="12"/>
  <c r="Y20" i="12"/>
  <c r="Y21" i="12"/>
  <c r="Y26" i="12"/>
  <c r="Y27" i="12"/>
  <c r="Y28" i="12"/>
  <c r="Y29" i="12"/>
  <c r="Y30" i="12"/>
  <c r="Y31" i="12"/>
  <c r="Y32" i="12"/>
  <c r="Y37" i="12"/>
  <c r="Y38" i="12"/>
  <c r="Y39" i="12"/>
  <c r="Y40" i="12"/>
  <c r="Y41" i="12"/>
  <c r="Y42" i="12"/>
  <c r="Y43" i="12"/>
  <c r="Y48" i="12"/>
  <c r="Y49" i="12"/>
  <c r="Y50" i="12"/>
  <c r="Y51" i="12"/>
  <c r="Y52" i="12"/>
  <c r="Y53" i="12"/>
  <c r="Y54" i="12"/>
  <c r="Y59" i="12"/>
  <c r="Y60" i="12"/>
  <c r="Y61" i="12"/>
  <c r="Y62" i="12"/>
  <c r="Y63" i="12"/>
  <c r="Y64" i="12"/>
  <c r="Y65" i="12"/>
  <c r="Y70" i="12"/>
  <c r="Y71" i="12"/>
  <c r="Y72" i="12"/>
  <c r="Y73" i="12"/>
  <c r="Y74" i="12"/>
  <c r="Y75" i="12"/>
  <c r="Y76" i="12"/>
  <c r="U4" i="12"/>
  <c r="U5" i="12"/>
  <c r="U6" i="12"/>
  <c r="U7" i="12"/>
  <c r="U8" i="12"/>
  <c r="U9" i="12"/>
  <c r="U10" i="12"/>
  <c r="T69" i="12"/>
  <c r="T58" i="12"/>
  <c r="T47" i="12"/>
  <c r="T36" i="12"/>
  <c r="T25" i="12"/>
  <c r="T14" i="12"/>
  <c r="T3" i="12"/>
  <c r="U15" i="12"/>
  <c r="U16" i="12"/>
  <c r="U17" i="12"/>
  <c r="U18" i="12"/>
  <c r="U19" i="12"/>
  <c r="U20" i="12"/>
  <c r="U21" i="12"/>
  <c r="U26" i="12"/>
  <c r="U27" i="12"/>
  <c r="U28" i="12"/>
  <c r="U29" i="12"/>
  <c r="U30" i="12"/>
  <c r="U31" i="12"/>
  <c r="U32" i="12"/>
  <c r="U37" i="12"/>
  <c r="U38" i="12"/>
  <c r="U39" i="12"/>
  <c r="U40" i="12"/>
  <c r="U41" i="12"/>
  <c r="U42" i="12"/>
  <c r="U43" i="12"/>
  <c r="U48" i="12"/>
  <c r="U49" i="12"/>
  <c r="U50" i="12"/>
  <c r="U51" i="12"/>
  <c r="U52" i="12"/>
  <c r="U53" i="12"/>
  <c r="U54" i="12"/>
  <c r="U59" i="12"/>
  <c r="U60" i="12"/>
  <c r="U61" i="12"/>
  <c r="U62" i="12"/>
  <c r="U63" i="12"/>
  <c r="U64" i="12"/>
  <c r="U65" i="12"/>
  <c r="U70" i="12"/>
  <c r="U71" i="12"/>
  <c r="U72" i="12"/>
  <c r="U73" i="12"/>
  <c r="U74" i="12"/>
  <c r="U75" i="12"/>
  <c r="U76" i="12"/>
  <c r="AC4" i="13"/>
  <c r="AC5" i="13"/>
  <c r="AC6" i="13"/>
  <c r="AC7" i="13"/>
  <c r="AC8" i="13"/>
  <c r="AC9" i="13"/>
  <c r="AC10" i="13"/>
  <c r="AB69" i="13"/>
  <c r="AB58" i="13"/>
  <c r="AB47" i="13"/>
  <c r="AB36" i="13"/>
  <c r="AB25" i="13"/>
  <c r="AB14" i="13"/>
  <c r="AB3" i="13"/>
  <c r="AC15" i="13"/>
  <c r="AC16" i="13"/>
  <c r="AC17" i="13"/>
  <c r="AC18" i="13"/>
  <c r="AC19" i="13"/>
  <c r="AC20" i="13"/>
  <c r="AC21" i="13"/>
  <c r="AC26" i="13"/>
  <c r="AC27" i="13"/>
  <c r="AC28" i="13"/>
  <c r="AC29" i="13"/>
  <c r="AC30" i="13"/>
  <c r="AC31" i="13"/>
  <c r="AC32" i="13"/>
  <c r="AC37" i="13"/>
  <c r="AC38" i="13"/>
  <c r="AC39" i="13"/>
  <c r="AC40" i="13"/>
  <c r="AC41" i="13"/>
  <c r="AC42" i="13"/>
  <c r="AC43" i="13"/>
  <c r="AC48" i="13"/>
  <c r="AC49" i="13"/>
  <c r="AC50" i="13"/>
  <c r="AC51" i="13"/>
  <c r="AC52" i="13"/>
  <c r="AC53" i="13"/>
  <c r="AC54" i="13"/>
  <c r="AC59" i="13"/>
  <c r="AC60" i="13"/>
  <c r="AC61" i="13"/>
  <c r="AC62" i="13"/>
  <c r="AC63" i="13"/>
  <c r="AC64" i="13"/>
  <c r="AC65" i="13"/>
  <c r="AC70" i="13"/>
  <c r="AC71" i="13"/>
  <c r="AC72" i="13"/>
  <c r="AC73" i="13"/>
  <c r="AC74" i="13"/>
  <c r="AC75" i="13"/>
  <c r="AC76" i="13"/>
  <c r="Y4" i="13"/>
  <c r="Y5" i="13"/>
  <c r="Y6" i="13"/>
  <c r="Y7" i="13"/>
  <c r="Y8" i="13"/>
  <c r="Y9" i="13"/>
  <c r="Y10" i="13"/>
  <c r="X69" i="13"/>
  <c r="X58" i="13"/>
  <c r="X47" i="13"/>
  <c r="X36" i="13"/>
  <c r="X25" i="13"/>
  <c r="X14" i="13"/>
  <c r="X3" i="13"/>
  <c r="Y15" i="13"/>
  <c r="Y16" i="13"/>
  <c r="Y17" i="13"/>
  <c r="Y18" i="13"/>
  <c r="Y19" i="13"/>
  <c r="Y20" i="13"/>
  <c r="Y21" i="13"/>
  <c r="Y26" i="13"/>
  <c r="Y27" i="13"/>
  <c r="Y28" i="13"/>
  <c r="Y29" i="13"/>
  <c r="Y30" i="13"/>
  <c r="Y31" i="13"/>
  <c r="Y32" i="13"/>
  <c r="Y37" i="13"/>
  <c r="Y38" i="13"/>
  <c r="Y39" i="13"/>
  <c r="Y40" i="13"/>
  <c r="Y41" i="13"/>
  <c r="Y42" i="13"/>
  <c r="Y43" i="13"/>
  <c r="Y48" i="13"/>
  <c r="Y49" i="13"/>
  <c r="Y50" i="13"/>
  <c r="Y51" i="13"/>
  <c r="Y52" i="13"/>
  <c r="Y53" i="13"/>
  <c r="Y54" i="13"/>
  <c r="Y59" i="13"/>
  <c r="Y60" i="13"/>
  <c r="Y61" i="13"/>
  <c r="Y62" i="13"/>
  <c r="Y63" i="13"/>
  <c r="Y64" i="13"/>
  <c r="Y65" i="13"/>
  <c r="Y70" i="13"/>
  <c r="Y71" i="13"/>
  <c r="Y72" i="13"/>
  <c r="Y73" i="13"/>
  <c r="Y74" i="13"/>
  <c r="Y75" i="13"/>
  <c r="Y76" i="13"/>
  <c r="U4" i="13"/>
  <c r="U5" i="13"/>
  <c r="U6" i="13"/>
  <c r="U7" i="13"/>
  <c r="U8" i="13"/>
  <c r="U9" i="13"/>
  <c r="U10" i="13"/>
  <c r="T69" i="13"/>
  <c r="T58" i="13"/>
  <c r="T47" i="13"/>
  <c r="T36" i="13"/>
  <c r="T25" i="13"/>
  <c r="T14" i="13"/>
  <c r="T3" i="13"/>
  <c r="U15" i="13"/>
  <c r="U16" i="13"/>
  <c r="U17" i="13"/>
  <c r="U18" i="13"/>
  <c r="U19" i="13"/>
  <c r="U20" i="13"/>
  <c r="U21" i="13"/>
  <c r="U26" i="13"/>
  <c r="U27" i="13"/>
  <c r="U28" i="13"/>
  <c r="U29" i="13"/>
  <c r="U30" i="13"/>
  <c r="U31" i="13"/>
  <c r="U32" i="13"/>
  <c r="U37" i="13"/>
  <c r="U38" i="13"/>
  <c r="U39" i="13"/>
  <c r="U40" i="13"/>
  <c r="U41" i="13"/>
  <c r="U42" i="13"/>
  <c r="U43" i="13"/>
  <c r="U48" i="13"/>
  <c r="U49" i="13"/>
  <c r="U50" i="13"/>
  <c r="U51" i="13"/>
  <c r="U52" i="13"/>
  <c r="U53" i="13"/>
  <c r="U54" i="13"/>
  <c r="U59" i="13"/>
  <c r="U60" i="13"/>
  <c r="U61" i="13"/>
  <c r="U62" i="13"/>
  <c r="U63" i="13"/>
  <c r="U64" i="13"/>
  <c r="U65" i="13"/>
  <c r="U70" i="13"/>
  <c r="U71" i="13"/>
  <c r="U72" i="13"/>
  <c r="U73" i="13"/>
  <c r="U74" i="13"/>
  <c r="U75" i="13"/>
  <c r="U76" i="13"/>
  <c r="AC4" i="8"/>
  <c r="AC5" i="8"/>
  <c r="AC6" i="8"/>
  <c r="AC7" i="8"/>
  <c r="AC8" i="8"/>
  <c r="AC9" i="8"/>
  <c r="AC10" i="8"/>
  <c r="AB69" i="8"/>
  <c r="AB58" i="8"/>
  <c r="AB47" i="8"/>
  <c r="AB36" i="8"/>
  <c r="AB25" i="8"/>
  <c r="AB14" i="8"/>
  <c r="AB3" i="8"/>
  <c r="AC15" i="8"/>
  <c r="AC16" i="8"/>
  <c r="AC17" i="8"/>
  <c r="AC18" i="8"/>
  <c r="AC19" i="8"/>
  <c r="AC20" i="8"/>
  <c r="AC21" i="8"/>
  <c r="AC26" i="8"/>
  <c r="AC27" i="8"/>
  <c r="AC28" i="8"/>
  <c r="AC29" i="8"/>
  <c r="AC30" i="8"/>
  <c r="AC31" i="8"/>
  <c r="AC32" i="8"/>
  <c r="AC37" i="8"/>
  <c r="AC38" i="8"/>
  <c r="AC39" i="8"/>
  <c r="AC40" i="8"/>
  <c r="AC41" i="8"/>
  <c r="AC42" i="8"/>
  <c r="AC43" i="8"/>
  <c r="AC48" i="8"/>
  <c r="AC49" i="8"/>
  <c r="AC50" i="8"/>
  <c r="AC51" i="8"/>
  <c r="AC52" i="8"/>
  <c r="AC53" i="8"/>
  <c r="AC54" i="8"/>
  <c r="AC59" i="8"/>
  <c r="AC60" i="8"/>
  <c r="AC61" i="8"/>
  <c r="AC62" i="8"/>
  <c r="AC63" i="8"/>
  <c r="AC64" i="8"/>
  <c r="AC65" i="8"/>
  <c r="AC70" i="8"/>
  <c r="AC71" i="8"/>
  <c r="AC72" i="8"/>
  <c r="AC73" i="8"/>
  <c r="AC74" i="8"/>
  <c r="AC75" i="8"/>
  <c r="AC76" i="8"/>
  <c r="Y4" i="8"/>
  <c r="Y5" i="8"/>
  <c r="Y6" i="8"/>
  <c r="Y7" i="8"/>
  <c r="Y8" i="8"/>
  <c r="Y9" i="8"/>
  <c r="Y10" i="8"/>
  <c r="X69" i="8"/>
  <c r="X58" i="8"/>
  <c r="X47" i="8"/>
  <c r="X36" i="8"/>
  <c r="X25" i="8"/>
  <c r="X14" i="8"/>
  <c r="X3" i="8"/>
  <c r="Y15" i="8"/>
  <c r="Y16" i="8"/>
  <c r="Y17" i="8"/>
  <c r="Y18" i="8"/>
  <c r="Y19" i="8"/>
  <c r="Y20" i="8"/>
  <c r="Y21" i="8"/>
  <c r="Y26" i="8"/>
  <c r="Y27" i="8"/>
  <c r="Y28" i="8"/>
  <c r="Y29" i="8"/>
  <c r="Y30" i="8"/>
  <c r="Y31" i="8"/>
  <c r="Y32" i="8"/>
  <c r="Y37" i="8"/>
  <c r="Y38" i="8"/>
  <c r="Y39" i="8"/>
  <c r="Y40" i="8"/>
  <c r="Y41" i="8"/>
  <c r="Y42" i="8"/>
  <c r="Y43" i="8"/>
  <c r="Y48" i="8"/>
  <c r="Y49" i="8"/>
  <c r="Y50" i="8"/>
  <c r="Y51" i="8"/>
  <c r="Y52" i="8"/>
  <c r="Y53" i="8"/>
  <c r="Y54" i="8"/>
  <c r="Y59" i="8"/>
  <c r="Y60" i="8"/>
  <c r="Y61" i="8"/>
  <c r="Y62" i="8"/>
  <c r="Y63" i="8"/>
  <c r="Y64" i="8"/>
  <c r="Y65" i="8"/>
  <c r="Y70" i="8"/>
  <c r="Y71" i="8"/>
  <c r="Y72" i="8"/>
  <c r="Y73" i="8"/>
  <c r="Y74" i="8"/>
  <c r="Y75" i="8"/>
  <c r="Y76" i="8"/>
  <c r="U4" i="8"/>
  <c r="U5" i="8"/>
  <c r="U6" i="8"/>
  <c r="U7" i="8"/>
  <c r="U8" i="8"/>
  <c r="U9" i="8"/>
  <c r="U10" i="8"/>
  <c r="T69" i="8"/>
  <c r="T58" i="8"/>
  <c r="T47" i="8"/>
  <c r="T36" i="8"/>
  <c r="T25" i="8"/>
  <c r="T14" i="8"/>
  <c r="T3" i="8"/>
  <c r="U15" i="8"/>
  <c r="U16" i="8"/>
  <c r="U17" i="8"/>
  <c r="U18" i="8"/>
  <c r="U19" i="8"/>
  <c r="U20" i="8"/>
  <c r="U21" i="8"/>
  <c r="U26" i="8"/>
  <c r="U27" i="8"/>
  <c r="U28" i="8"/>
  <c r="U29" i="8"/>
  <c r="U30" i="8"/>
  <c r="U31" i="8"/>
  <c r="U32" i="8"/>
  <c r="U37" i="8"/>
  <c r="U38" i="8"/>
  <c r="U39" i="8"/>
  <c r="U40" i="8"/>
  <c r="U41" i="8"/>
  <c r="U42" i="8"/>
  <c r="U43" i="8"/>
  <c r="U48" i="8"/>
  <c r="U49" i="8"/>
  <c r="U50" i="8"/>
  <c r="U51" i="8"/>
  <c r="U52" i="8"/>
  <c r="U53" i="8"/>
  <c r="U54" i="8"/>
  <c r="U59" i="8"/>
  <c r="U60" i="8"/>
  <c r="U61" i="8"/>
  <c r="U62" i="8"/>
  <c r="U63" i="8"/>
  <c r="U64" i="8"/>
  <c r="U65" i="8"/>
  <c r="U70" i="8"/>
  <c r="U71" i="8"/>
  <c r="U72" i="8"/>
  <c r="U73" i="8"/>
  <c r="U74" i="8"/>
  <c r="U75" i="8"/>
  <c r="U76" i="8"/>
  <c r="M4" i="11"/>
  <c r="M5" i="11"/>
  <c r="M6" i="11"/>
  <c r="M7" i="11"/>
  <c r="M8" i="11"/>
  <c r="M9" i="11"/>
  <c r="M10" i="11"/>
  <c r="L69" i="11"/>
  <c r="L58" i="11"/>
  <c r="L47" i="11"/>
  <c r="L36" i="11"/>
  <c r="L25" i="11"/>
  <c r="L14" i="11"/>
  <c r="L3" i="11"/>
  <c r="M15" i="11"/>
  <c r="M16" i="11"/>
  <c r="M17" i="11"/>
  <c r="M18" i="11"/>
  <c r="M19" i="11"/>
  <c r="M20" i="11"/>
  <c r="M21" i="11"/>
  <c r="M26" i="11"/>
  <c r="M27" i="11"/>
  <c r="M28" i="11"/>
  <c r="M29" i="11"/>
  <c r="M30" i="11"/>
  <c r="M31" i="11"/>
  <c r="M32" i="11"/>
  <c r="M37" i="11"/>
  <c r="M38" i="11"/>
  <c r="M39" i="11"/>
  <c r="M40" i="11"/>
  <c r="M41" i="11"/>
  <c r="M42" i="11"/>
  <c r="M43" i="11"/>
  <c r="M48" i="11"/>
  <c r="M49" i="11"/>
  <c r="M50" i="11"/>
  <c r="M51" i="11"/>
  <c r="M52" i="11"/>
  <c r="M53" i="11"/>
  <c r="M54" i="11"/>
  <c r="M59" i="11"/>
  <c r="M60" i="11"/>
  <c r="M61" i="11"/>
  <c r="M62" i="11"/>
  <c r="M63" i="11"/>
  <c r="M64" i="11"/>
  <c r="M65" i="11"/>
  <c r="M70" i="11"/>
  <c r="M71" i="11"/>
  <c r="M72" i="11"/>
  <c r="M73" i="11"/>
  <c r="M74" i="11"/>
  <c r="M75" i="11"/>
  <c r="M76" i="11"/>
  <c r="M4" i="12"/>
  <c r="M5" i="12"/>
  <c r="M6" i="12"/>
  <c r="M7" i="12"/>
  <c r="M8" i="12"/>
  <c r="M9" i="12"/>
  <c r="M10" i="12"/>
  <c r="L69" i="12"/>
  <c r="L58" i="12"/>
  <c r="L47" i="12"/>
  <c r="L36" i="12"/>
  <c r="L25" i="12"/>
  <c r="L14" i="12"/>
  <c r="L3" i="12"/>
  <c r="M15" i="12"/>
  <c r="M16" i="12"/>
  <c r="M17" i="12"/>
  <c r="M18" i="12"/>
  <c r="M19" i="12"/>
  <c r="M20" i="12"/>
  <c r="M21" i="12"/>
  <c r="M26" i="12"/>
  <c r="M27" i="12"/>
  <c r="M28" i="12"/>
  <c r="M29" i="12"/>
  <c r="M30" i="12"/>
  <c r="M31" i="12"/>
  <c r="M32" i="12"/>
  <c r="M37" i="12"/>
  <c r="M38" i="12"/>
  <c r="M39" i="12"/>
  <c r="M40" i="12"/>
  <c r="M41" i="12"/>
  <c r="M42" i="12"/>
  <c r="M43" i="12"/>
  <c r="M48" i="12"/>
  <c r="M49" i="12"/>
  <c r="M50" i="12"/>
  <c r="M51" i="12"/>
  <c r="M52" i="12"/>
  <c r="M53" i="12"/>
  <c r="M54" i="12"/>
  <c r="M59" i="12"/>
  <c r="M60" i="12"/>
  <c r="M61" i="12"/>
  <c r="M62" i="12"/>
  <c r="M63" i="12"/>
  <c r="M64" i="12"/>
  <c r="M65" i="12"/>
  <c r="M70" i="12"/>
  <c r="M71" i="12"/>
  <c r="M72" i="12"/>
  <c r="M73" i="12"/>
  <c r="M74" i="12"/>
  <c r="M75" i="12"/>
  <c r="M76" i="12"/>
  <c r="M4" i="13"/>
  <c r="M5" i="13"/>
  <c r="M6" i="13"/>
  <c r="M7" i="13"/>
  <c r="M8" i="13"/>
  <c r="M9" i="13"/>
  <c r="M10" i="13"/>
  <c r="L69" i="13"/>
  <c r="L58" i="13"/>
  <c r="L47" i="13"/>
  <c r="L36" i="13"/>
  <c r="L25" i="13"/>
  <c r="L14" i="13"/>
  <c r="L3" i="13"/>
  <c r="M15" i="13"/>
  <c r="M16" i="13"/>
  <c r="M17" i="13"/>
  <c r="M18" i="13"/>
  <c r="M19" i="13"/>
  <c r="M20" i="13"/>
  <c r="M21" i="13"/>
  <c r="M26" i="13"/>
  <c r="M27" i="13"/>
  <c r="M28" i="13"/>
  <c r="M29" i="13"/>
  <c r="M30" i="13"/>
  <c r="M31" i="13"/>
  <c r="M32" i="13"/>
  <c r="M37" i="13"/>
  <c r="M38" i="13"/>
  <c r="M39" i="13"/>
  <c r="M40" i="13"/>
  <c r="M41" i="13"/>
  <c r="M42" i="13"/>
  <c r="M43" i="13"/>
  <c r="M48" i="13"/>
  <c r="M49" i="13"/>
  <c r="M50" i="13"/>
  <c r="M51" i="13"/>
  <c r="M52" i="13"/>
  <c r="M53" i="13"/>
  <c r="M54" i="13"/>
  <c r="M59" i="13"/>
  <c r="M60" i="13"/>
  <c r="M61" i="13"/>
  <c r="M62" i="13"/>
  <c r="M63" i="13"/>
  <c r="M64" i="13"/>
  <c r="M65" i="13"/>
  <c r="M70" i="13"/>
  <c r="M71" i="13"/>
  <c r="M72" i="13"/>
  <c r="M73" i="13"/>
  <c r="M74" i="13"/>
  <c r="M75" i="13"/>
  <c r="M76" i="13"/>
  <c r="M4" i="8"/>
  <c r="M5" i="8"/>
  <c r="M6" i="8"/>
  <c r="M7" i="8"/>
  <c r="M8" i="8"/>
  <c r="M9" i="8"/>
  <c r="M10" i="8"/>
  <c r="L69" i="8"/>
  <c r="L58" i="8"/>
  <c r="L47" i="8"/>
  <c r="L36" i="8"/>
  <c r="L25" i="8"/>
  <c r="L14" i="8"/>
  <c r="L3" i="8"/>
  <c r="M15" i="8"/>
  <c r="M16" i="8"/>
  <c r="M17" i="8"/>
  <c r="M18" i="8"/>
  <c r="M19" i="8"/>
  <c r="M20" i="8"/>
  <c r="M21" i="8"/>
  <c r="M26" i="8"/>
  <c r="M27" i="8"/>
  <c r="M28" i="8"/>
  <c r="M29" i="8"/>
  <c r="M30" i="8"/>
  <c r="M31" i="8"/>
  <c r="M32" i="8"/>
  <c r="M37" i="8"/>
  <c r="M38" i="8"/>
  <c r="M39" i="8"/>
  <c r="M40" i="8"/>
  <c r="M41" i="8"/>
  <c r="M42" i="8"/>
  <c r="M43" i="8"/>
  <c r="M48" i="8"/>
  <c r="M49" i="8"/>
  <c r="M50" i="8"/>
  <c r="M51" i="8"/>
  <c r="M52" i="8"/>
  <c r="M53" i="8"/>
  <c r="M54" i="8"/>
  <c r="M59" i="8"/>
  <c r="M60" i="8"/>
  <c r="M61" i="8"/>
  <c r="M62" i="8"/>
  <c r="M63" i="8"/>
  <c r="M64" i="8"/>
  <c r="M65" i="8"/>
  <c r="M70" i="8"/>
  <c r="M71" i="8"/>
  <c r="M72" i="8"/>
  <c r="M73" i="8"/>
  <c r="M74" i="8"/>
  <c r="M75" i="8"/>
  <c r="M76" i="8"/>
  <c r="I14" i="3"/>
  <c r="C17" i="2"/>
  <c r="J403" i="3"/>
  <c r="J27" i="3"/>
  <c r="J30" i="3"/>
  <c r="J282" i="3"/>
  <c r="J29" i="3"/>
  <c r="J527" i="3"/>
  <c r="J405" i="3"/>
  <c r="J222" i="3"/>
  <c r="J529" i="3"/>
  <c r="J114" i="3"/>
  <c r="J450" i="3"/>
  <c r="J591" i="3"/>
  <c r="J526" i="3"/>
  <c r="J917" i="3"/>
  <c r="J476" i="3"/>
  <c r="J774" i="3"/>
  <c r="J661" i="3"/>
  <c r="J589" i="3"/>
  <c r="J590" i="3"/>
  <c r="J524" i="3"/>
  <c r="J334" i="3"/>
  <c r="J288" i="3"/>
  <c r="J26" i="3"/>
  <c r="J118" i="3"/>
  <c r="J224" i="3"/>
  <c r="J449" i="3"/>
  <c r="J116" i="3"/>
  <c r="J157" i="3"/>
  <c r="J528" i="3"/>
  <c r="J775" i="3"/>
  <c r="J404" i="3"/>
  <c r="J890" i="3"/>
  <c r="J480" i="3"/>
  <c r="J600" i="3"/>
  <c r="J588" i="3"/>
  <c r="J23" i="3"/>
  <c r="J513" i="3"/>
  <c r="J532" i="3"/>
  <c r="J67" i="3"/>
  <c r="J71" i="3"/>
  <c r="J470" i="3"/>
  <c r="J684" i="3"/>
  <c r="J119" i="3"/>
  <c r="J611" i="3"/>
  <c r="J712" i="3"/>
  <c r="B60" i="2"/>
  <c r="B49" i="2"/>
  <c r="K38" i="2"/>
  <c r="K27" i="2"/>
  <c r="B38" i="2"/>
  <c r="B2" i="4"/>
  <c r="B3" i="4"/>
  <c r="O3" i="4"/>
  <c r="K2" i="4"/>
  <c r="D23" i="2"/>
  <c r="G19" i="2"/>
  <c r="L5" i="2"/>
  <c r="N15" i="2" s="1"/>
  <c r="L9" i="2"/>
  <c r="N19" i="2" s="1"/>
  <c r="L7" i="2"/>
  <c r="N17" i="2" s="1"/>
  <c r="D55" i="2"/>
  <c r="N25" i="2"/>
  <c r="M47" i="2"/>
  <c r="M46" i="2"/>
  <c r="M45" i="2"/>
  <c r="M44" i="2"/>
  <c r="M43" i="2"/>
  <c r="M42" i="2"/>
  <c r="M41" i="2"/>
  <c r="M36" i="2"/>
  <c r="M35" i="2"/>
  <c r="M34" i="2"/>
  <c r="M32" i="2"/>
  <c r="D69" i="2"/>
  <c r="D68" i="2"/>
  <c r="D67" i="2"/>
  <c r="D66" i="2"/>
  <c r="D65" i="2"/>
  <c r="D64" i="2"/>
  <c r="D63" i="2"/>
  <c r="D58" i="2"/>
  <c r="D57" i="2"/>
  <c r="D56" i="2"/>
  <c r="D54" i="2"/>
  <c r="D53" i="2"/>
  <c r="D52" i="2"/>
  <c r="D47" i="2"/>
  <c r="D46" i="2"/>
  <c r="D45" i="2"/>
  <c r="D44" i="2"/>
  <c r="D43" i="2"/>
  <c r="D42" i="2"/>
  <c r="D41" i="2"/>
  <c r="D30" i="2"/>
  <c r="D31" i="2"/>
  <c r="D32" i="2"/>
  <c r="D33" i="2"/>
  <c r="D34" i="2"/>
  <c r="D35" i="2"/>
  <c r="D36" i="2"/>
  <c r="L25" i="2"/>
  <c r="P25" i="2" s="1"/>
  <c r="L23" i="2"/>
  <c r="E67" i="2"/>
  <c r="F67" i="2"/>
  <c r="G67" i="2"/>
  <c r="H67" i="2"/>
  <c r="I67" i="2"/>
  <c r="I66" i="2"/>
  <c r="H66" i="2"/>
  <c r="G66" i="2"/>
  <c r="F66" i="2"/>
  <c r="E66" i="2"/>
  <c r="N44" i="2"/>
  <c r="O44" i="2"/>
  <c r="P44" i="2"/>
  <c r="Q44" i="2"/>
  <c r="R44" i="2"/>
  <c r="N45" i="2"/>
  <c r="O45" i="2"/>
  <c r="P45" i="2"/>
  <c r="Q45" i="2"/>
  <c r="R45" i="2"/>
  <c r="N46" i="2"/>
  <c r="O46" i="2"/>
  <c r="P46" i="2"/>
  <c r="Q46" i="2"/>
  <c r="R46" i="2"/>
  <c r="E44" i="2"/>
  <c r="F44" i="2"/>
  <c r="G44" i="2"/>
  <c r="H44" i="2"/>
  <c r="I44" i="2"/>
  <c r="E45" i="2"/>
  <c r="F45" i="2"/>
  <c r="G45" i="2"/>
  <c r="H45" i="2"/>
  <c r="I45" i="2"/>
  <c r="E46" i="2"/>
  <c r="F46" i="2"/>
  <c r="G46" i="2"/>
  <c r="H46" i="2"/>
  <c r="I46" i="2"/>
  <c r="C3" i="5"/>
  <c r="B1" i="13"/>
  <c r="B1" i="12"/>
  <c r="B1" i="11"/>
  <c r="C3" i="13"/>
  <c r="C3" i="12"/>
  <c r="C3" i="11"/>
  <c r="B1" i="8"/>
  <c r="C3" i="8"/>
  <c r="B1" i="5"/>
  <c r="F2" i="3"/>
  <c r="J115" i="3"/>
  <c r="J117" i="3"/>
  <c r="J120" i="3"/>
  <c r="J121" i="3"/>
  <c r="J122" i="3"/>
  <c r="J123" i="3"/>
  <c r="J124" i="3"/>
  <c r="J125" i="3"/>
  <c r="J126" i="3"/>
  <c r="J127" i="3"/>
  <c r="J128" i="3"/>
  <c r="J129" i="3"/>
  <c r="J130" i="3"/>
  <c r="J131" i="3"/>
  <c r="J132" i="3"/>
  <c r="J133" i="3"/>
  <c r="J134" i="3"/>
  <c r="J135" i="3"/>
  <c r="J136" i="3"/>
  <c r="J137" i="3"/>
  <c r="J138" i="3"/>
  <c r="J139" i="3"/>
  <c r="J140" i="3"/>
  <c r="J141" i="3"/>
  <c r="J142" i="3"/>
  <c r="J143" i="3"/>
  <c r="J144" i="3"/>
  <c r="J145" i="3"/>
  <c r="J146" i="3"/>
  <c r="J147" i="3"/>
  <c r="J148" i="3"/>
  <c r="J149" i="3"/>
  <c r="J150" i="3"/>
  <c r="J151" i="3"/>
  <c r="J152" i="3"/>
  <c r="J153" i="3"/>
  <c r="J154" i="3"/>
  <c r="J158" i="3"/>
  <c r="J159" i="3"/>
  <c r="J160" i="3"/>
  <c r="J161" i="3"/>
  <c r="J162" i="3"/>
  <c r="J163" i="3"/>
  <c r="J164" i="3"/>
  <c r="J165" i="3"/>
  <c r="J166" i="3"/>
  <c r="J167" i="3"/>
  <c r="J168" i="3"/>
  <c r="J169" i="3"/>
  <c r="J170" i="3"/>
  <c r="J171" i="3"/>
  <c r="J172" i="3"/>
  <c r="J173" i="3"/>
  <c r="J174" i="3"/>
  <c r="J175" i="3"/>
  <c r="J176" i="3"/>
  <c r="J177" i="3"/>
  <c r="J178" i="3"/>
  <c r="J179" i="3"/>
  <c r="J180" i="3"/>
  <c r="J181" i="3"/>
  <c r="J182" i="3"/>
  <c r="J183" i="3"/>
  <c r="J184" i="3"/>
  <c r="J185" i="3"/>
  <c r="J186" i="3"/>
  <c r="J187" i="3"/>
  <c r="J188" i="3"/>
  <c r="J189" i="3"/>
  <c r="J190" i="3"/>
  <c r="J191" i="3"/>
  <c r="J192" i="3"/>
  <c r="J193" i="3"/>
  <c r="J194" i="3"/>
  <c r="J195" i="3"/>
  <c r="J196" i="3"/>
  <c r="J197" i="3"/>
  <c r="J198" i="3"/>
  <c r="J199" i="3"/>
  <c r="J200" i="3"/>
  <c r="J201" i="3"/>
  <c r="J202" i="3"/>
  <c r="J203" i="3"/>
  <c r="J204" i="3"/>
  <c r="J205" i="3"/>
  <c r="J206" i="3"/>
  <c r="J207" i="3"/>
  <c r="J208" i="3"/>
  <c r="J209" i="3"/>
  <c r="J210" i="3"/>
  <c r="J211" i="3"/>
  <c r="J212" i="3"/>
  <c r="J213" i="3"/>
  <c r="J214" i="3"/>
  <c r="J215" i="3"/>
  <c r="J218" i="3"/>
  <c r="J219" i="3"/>
  <c r="J220" i="3"/>
  <c r="J221" i="3"/>
  <c r="J223" i="3"/>
  <c r="J225" i="3"/>
  <c r="J226" i="3"/>
  <c r="J227" i="3"/>
  <c r="J228" i="3"/>
  <c r="J229" i="3"/>
  <c r="J230" i="3"/>
  <c r="J231" i="3"/>
  <c r="J232" i="3"/>
  <c r="J233" i="3"/>
  <c r="J234" i="3"/>
  <c r="J235" i="3"/>
  <c r="J236" i="3"/>
  <c r="J237" i="3"/>
  <c r="J238" i="3"/>
  <c r="J239" i="3"/>
  <c r="J240" i="3"/>
  <c r="J241" i="3"/>
  <c r="J242" i="3"/>
  <c r="J243" i="3"/>
  <c r="J244" i="3"/>
  <c r="J245" i="3"/>
  <c r="J246" i="3"/>
  <c r="J247" i="3"/>
  <c r="J248" i="3"/>
  <c r="J249" i="3"/>
  <c r="J250" i="3"/>
  <c r="J251" i="3"/>
  <c r="J252" i="3"/>
  <c r="J253" i="3"/>
  <c r="J254" i="3"/>
  <c r="J255" i="3"/>
  <c r="J256" i="3"/>
  <c r="J257" i="3"/>
  <c r="J258" i="3"/>
  <c r="J259" i="3"/>
  <c r="J260" i="3"/>
  <c r="J261" i="3"/>
  <c r="J262" i="3"/>
  <c r="J263" i="3"/>
  <c r="J264" i="3"/>
  <c r="J265" i="3"/>
  <c r="J266" i="3"/>
  <c r="J267" i="3"/>
  <c r="J268" i="3"/>
  <c r="J269" i="3"/>
  <c r="J270" i="3"/>
  <c r="J271" i="3"/>
  <c r="J272" i="3"/>
  <c r="J273" i="3"/>
  <c r="J274" i="3"/>
  <c r="J275" i="3"/>
  <c r="J276" i="3"/>
  <c r="J277" i="3"/>
  <c r="J278" i="3"/>
  <c r="J281" i="3"/>
  <c r="J283" i="3"/>
  <c r="J284" i="3"/>
  <c r="J285" i="3"/>
  <c r="J286" i="3"/>
  <c r="J287" i="3"/>
  <c r="J289" i="3"/>
  <c r="J290" i="3"/>
  <c r="J291" i="3"/>
  <c r="J292" i="3"/>
  <c r="J293" i="3"/>
  <c r="J294" i="3"/>
  <c r="J295" i="3"/>
  <c r="J296" i="3"/>
  <c r="J297" i="3"/>
  <c r="J298" i="3"/>
  <c r="J299" i="3"/>
  <c r="J300" i="3"/>
  <c r="J301" i="3"/>
  <c r="J302" i="3"/>
  <c r="J303" i="3"/>
  <c r="J304" i="3"/>
  <c r="J305" i="3"/>
  <c r="J306" i="3"/>
  <c r="J307" i="3"/>
  <c r="J308" i="3"/>
  <c r="J309" i="3"/>
  <c r="J310" i="3"/>
  <c r="J311" i="3"/>
  <c r="J312" i="3"/>
  <c r="J313" i="3"/>
  <c r="J314" i="3"/>
  <c r="J315" i="3"/>
  <c r="J316" i="3"/>
  <c r="J317" i="3"/>
  <c r="J318" i="3"/>
  <c r="J319" i="3"/>
  <c r="J320" i="3"/>
  <c r="J321" i="3"/>
  <c r="J322" i="3"/>
  <c r="J323" i="3"/>
  <c r="J324" i="3"/>
  <c r="J325" i="3"/>
  <c r="J326" i="3"/>
  <c r="J327" i="3"/>
  <c r="J328" i="3"/>
  <c r="J329" i="3"/>
  <c r="J330" i="3"/>
  <c r="J331" i="3"/>
  <c r="J332" i="3"/>
  <c r="J333" i="3"/>
  <c r="J335" i="3"/>
  <c r="J336" i="3"/>
  <c r="J337" i="3"/>
  <c r="J338" i="3"/>
  <c r="J339" i="3"/>
  <c r="J340" i="3"/>
  <c r="J341" i="3"/>
  <c r="J342" i="3"/>
  <c r="J343" i="3"/>
  <c r="J344" i="3"/>
  <c r="J345" i="3"/>
  <c r="J346" i="3"/>
  <c r="J347" i="3"/>
  <c r="J348" i="3"/>
  <c r="J349" i="3"/>
  <c r="J350" i="3"/>
  <c r="J351" i="3"/>
  <c r="J352" i="3"/>
  <c r="J353" i="3"/>
  <c r="J354" i="3"/>
  <c r="J355" i="3"/>
  <c r="J356" i="3"/>
  <c r="J357" i="3"/>
  <c r="J358" i="3"/>
  <c r="J359" i="3"/>
  <c r="J360" i="3"/>
  <c r="J361" i="3"/>
  <c r="J362" i="3"/>
  <c r="J363" i="3"/>
  <c r="J364" i="3"/>
  <c r="J365" i="3"/>
  <c r="J366" i="3"/>
  <c r="J367" i="3"/>
  <c r="J368" i="3"/>
  <c r="J369" i="3"/>
  <c r="J370" i="3"/>
  <c r="J371" i="3"/>
  <c r="J372" i="3"/>
  <c r="J373" i="3"/>
  <c r="J374" i="3"/>
  <c r="J375" i="3"/>
  <c r="J376" i="3"/>
  <c r="J377" i="3"/>
  <c r="J378" i="3"/>
  <c r="J379" i="3"/>
  <c r="J380" i="3"/>
  <c r="J381" i="3"/>
  <c r="J382" i="3"/>
  <c r="J383" i="3"/>
  <c r="J384" i="3"/>
  <c r="J385" i="3"/>
  <c r="J386" i="3"/>
  <c r="J387" i="3"/>
  <c r="J388" i="3"/>
  <c r="J389" i="3"/>
  <c r="J390" i="3"/>
  <c r="J391" i="3"/>
  <c r="J392" i="3"/>
  <c r="J393" i="3"/>
  <c r="J394" i="3"/>
  <c r="J395" i="3"/>
  <c r="J396" i="3"/>
  <c r="J397" i="3"/>
  <c r="J398" i="3"/>
  <c r="J399" i="3"/>
  <c r="J400" i="3"/>
  <c r="J406" i="3"/>
  <c r="J407" i="3"/>
  <c r="J408" i="3"/>
  <c r="J409" i="3"/>
  <c r="J410" i="3"/>
  <c r="J411" i="3"/>
  <c r="J412" i="3"/>
  <c r="J413" i="3"/>
  <c r="J414" i="3"/>
  <c r="J415" i="3"/>
  <c r="J416" i="3"/>
  <c r="J417" i="3"/>
  <c r="J418" i="3"/>
  <c r="J419" i="3"/>
  <c r="J420" i="3"/>
  <c r="J421" i="3"/>
  <c r="J422" i="3"/>
  <c r="J423" i="3"/>
  <c r="J424" i="3"/>
  <c r="J425" i="3"/>
  <c r="J426" i="3"/>
  <c r="J427" i="3"/>
  <c r="J428" i="3"/>
  <c r="J429" i="3"/>
  <c r="J430" i="3"/>
  <c r="J431" i="3"/>
  <c r="J432" i="3"/>
  <c r="J433" i="3"/>
  <c r="J434" i="3"/>
  <c r="J435" i="3"/>
  <c r="J436" i="3"/>
  <c r="J437" i="3"/>
  <c r="J438" i="3"/>
  <c r="J439" i="3"/>
  <c r="J440" i="3"/>
  <c r="J441" i="3"/>
  <c r="J442" i="3"/>
  <c r="J443" i="3"/>
  <c r="J444" i="3"/>
  <c r="J445" i="3"/>
  <c r="J448" i="3"/>
  <c r="J451" i="3"/>
  <c r="J452" i="3"/>
  <c r="J453" i="3"/>
  <c r="J454" i="3"/>
  <c r="J455" i="3"/>
  <c r="J456" i="3"/>
  <c r="J457" i="3"/>
  <c r="J458" i="3"/>
  <c r="J459" i="3"/>
  <c r="J460" i="3"/>
  <c r="J461" i="3"/>
  <c r="J462" i="3"/>
  <c r="J463" i="3"/>
  <c r="J464" i="3"/>
  <c r="J465" i="3"/>
  <c r="J466" i="3"/>
  <c r="J467" i="3"/>
  <c r="J471" i="3"/>
  <c r="J472" i="3"/>
  <c r="J473" i="3"/>
  <c r="J474" i="3"/>
  <c r="J475" i="3"/>
  <c r="J477" i="3"/>
  <c r="J478" i="3"/>
  <c r="J479" i="3"/>
  <c r="J481" i="3"/>
  <c r="J482" i="3"/>
  <c r="J483" i="3"/>
  <c r="J484" i="3"/>
  <c r="J485" i="3"/>
  <c r="J486" i="3"/>
  <c r="J487" i="3"/>
  <c r="J488" i="3"/>
  <c r="J489" i="3"/>
  <c r="J490" i="3"/>
  <c r="J491" i="3"/>
  <c r="J492" i="3"/>
  <c r="J493" i="3"/>
  <c r="J494" i="3"/>
  <c r="J495" i="3"/>
  <c r="J496" i="3"/>
  <c r="J497" i="3"/>
  <c r="J498" i="3"/>
  <c r="J499" i="3"/>
  <c r="J500" i="3"/>
  <c r="J501" i="3"/>
  <c r="J502" i="3"/>
  <c r="J503" i="3"/>
  <c r="J504" i="3"/>
  <c r="J505" i="3"/>
  <c r="J506" i="3"/>
  <c r="J507" i="3"/>
  <c r="J508" i="3"/>
  <c r="J509" i="3"/>
  <c r="J510" i="3"/>
  <c r="J511" i="3"/>
  <c r="J512" i="3"/>
  <c r="J514" i="3"/>
  <c r="J515" i="3"/>
  <c r="J516" i="3"/>
  <c r="J517" i="3"/>
  <c r="J518" i="3"/>
  <c r="J519" i="3"/>
  <c r="J522" i="3"/>
  <c r="J523" i="3"/>
  <c r="J525" i="3"/>
  <c r="J530" i="3"/>
  <c r="J531" i="3"/>
  <c r="J533" i="3"/>
  <c r="J534" i="3"/>
  <c r="J535" i="3"/>
  <c r="J536" i="3"/>
  <c r="J537" i="3"/>
  <c r="J538" i="3"/>
  <c r="J539" i="3"/>
  <c r="J540" i="3"/>
  <c r="J541" i="3"/>
  <c r="J542" i="3"/>
  <c r="J543" i="3"/>
  <c r="J544" i="3"/>
  <c r="J545" i="3"/>
  <c r="J546" i="3"/>
  <c r="J547" i="3"/>
  <c r="J548" i="3"/>
  <c r="J549" i="3"/>
  <c r="J550" i="3"/>
  <c r="J551" i="3"/>
  <c r="J552" i="3"/>
  <c r="J553" i="3"/>
  <c r="J554" i="3"/>
  <c r="J555" i="3"/>
  <c r="J556" i="3"/>
  <c r="J557" i="3"/>
  <c r="J558" i="3"/>
  <c r="J559" i="3"/>
  <c r="J560" i="3"/>
  <c r="J561" i="3"/>
  <c r="J562" i="3"/>
  <c r="J563" i="3"/>
  <c r="J564" i="3"/>
  <c r="J565" i="3"/>
  <c r="J566" i="3"/>
  <c r="J567" i="3"/>
  <c r="J568" i="3"/>
  <c r="J569" i="3"/>
  <c r="J570" i="3"/>
  <c r="J571" i="3"/>
  <c r="J572" i="3"/>
  <c r="J573" i="3"/>
  <c r="J574" i="3"/>
  <c r="J575" i="3"/>
  <c r="J576" i="3"/>
  <c r="J577" i="3"/>
  <c r="J578" i="3"/>
  <c r="J579" i="3"/>
  <c r="J580" i="3"/>
  <c r="J581" i="3"/>
  <c r="J582" i="3"/>
  <c r="J583" i="3"/>
  <c r="J584" i="3"/>
  <c r="J587" i="3"/>
  <c r="J592" i="3"/>
  <c r="J593" i="3"/>
  <c r="J594" i="3"/>
  <c r="J595" i="3"/>
  <c r="J596" i="3"/>
  <c r="J597" i="3"/>
  <c r="J598" i="3"/>
  <c r="J599" i="3"/>
  <c r="J601" i="3"/>
  <c r="J602" i="3"/>
  <c r="J603" i="3"/>
  <c r="J604" i="3"/>
  <c r="J605" i="3"/>
  <c r="J606" i="3"/>
  <c r="J607" i="3"/>
  <c r="J608" i="3"/>
  <c r="J609" i="3"/>
  <c r="J610" i="3"/>
  <c r="J612" i="3"/>
  <c r="J613" i="3"/>
  <c r="J614" i="3"/>
  <c r="J615" i="3"/>
  <c r="J616" i="3"/>
  <c r="J617" i="3"/>
  <c r="J618" i="3"/>
  <c r="J619" i="3"/>
  <c r="J620" i="3"/>
  <c r="J621" i="3"/>
  <c r="J622" i="3"/>
  <c r="J623" i="3"/>
  <c r="J624" i="3"/>
  <c r="J625" i="3"/>
  <c r="J626" i="3"/>
  <c r="J627" i="3"/>
  <c r="J628" i="3"/>
  <c r="J629" i="3"/>
  <c r="J630" i="3"/>
  <c r="J631" i="3"/>
  <c r="J632" i="3"/>
  <c r="J633" i="3"/>
  <c r="J634" i="3"/>
  <c r="J635" i="3"/>
  <c r="J636" i="3"/>
  <c r="J637" i="3"/>
  <c r="J638" i="3"/>
  <c r="J639" i="3"/>
  <c r="J640" i="3"/>
  <c r="J641" i="3"/>
  <c r="J642" i="3"/>
  <c r="J643" i="3"/>
  <c r="J644" i="3"/>
  <c r="J645" i="3"/>
  <c r="J646" i="3"/>
  <c r="J647" i="3"/>
  <c r="J648" i="3"/>
  <c r="J649" i="3"/>
  <c r="J650" i="3"/>
  <c r="J651" i="3"/>
  <c r="J652" i="3"/>
  <c r="J653" i="3"/>
  <c r="J654" i="3"/>
  <c r="J655" i="3"/>
  <c r="J656" i="3"/>
  <c r="J657" i="3"/>
  <c r="J658" i="3"/>
  <c r="J659" i="3"/>
  <c r="J660" i="3"/>
  <c r="J662" i="3"/>
  <c r="J663" i="3"/>
  <c r="J664" i="3"/>
  <c r="J665" i="3"/>
  <c r="J666" i="3"/>
  <c r="J667" i="3"/>
  <c r="J668" i="3"/>
  <c r="J669" i="3"/>
  <c r="J670" i="3"/>
  <c r="J671" i="3"/>
  <c r="J672" i="3"/>
  <c r="J673" i="3"/>
  <c r="J674" i="3"/>
  <c r="J675" i="3"/>
  <c r="J676" i="3"/>
  <c r="J677" i="3"/>
  <c r="J678" i="3"/>
  <c r="J679" i="3"/>
  <c r="J680" i="3"/>
  <c r="J683" i="3"/>
  <c r="J685" i="3"/>
  <c r="J686" i="3"/>
  <c r="J687" i="3"/>
  <c r="J688" i="3"/>
  <c r="J689" i="3"/>
  <c r="J690" i="3"/>
  <c r="J691" i="3"/>
  <c r="J692" i="3"/>
  <c r="J693" i="3"/>
  <c r="J694" i="3"/>
  <c r="J695" i="3"/>
  <c r="J696" i="3"/>
  <c r="J697" i="3"/>
  <c r="J698" i="3"/>
  <c r="J699" i="3"/>
  <c r="J700" i="3"/>
  <c r="J701" i="3"/>
  <c r="J702" i="3"/>
  <c r="J703" i="3"/>
  <c r="J704" i="3"/>
  <c r="J705" i="3"/>
  <c r="J706" i="3"/>
  <c r="J707" i="3"/>
  <c r="J708" i="3"/>
  <c r="J709" i="3"/>
  <c r="J713" i="3"/>
  <c r="J714" i="3"/>
  <c r="J715" i="3"/>
  <c r="J716" i="3"/>
  <c r="J717" i="3"/>
  <c r="J718" i="3"/>
  <c r="J719" i="3"/>
  <c r="J720" i="3"/>
  <c r="J721" i="3"/>
  <c r="J722" i="3"/>
  <c r="J723" i="3"/>
  <c r="J724" i="3"/>
  <c r="J725" i="3"/>
  <c r="J726" i="3"/>
  <c r="J727" i="3"/>
  <c r="J728" i="3"/>
  <c r="J729" i="3"/>
  <c r="J730" i="3"/>
  <c r="J731" i="3"/>
  <c r="J732" i="3"/>
  <c r="J733" i="3"/>
  <c r="J734" i="3"/>
  <c r="J735" i="3"/>
  <c r="J736" i="3"/>
  <c r="J737" i="3"/>
  <c r="J738" i="3"/>
  <c r="J739" i="3"/>
  <c r="J740" i="3"/>
  <c r="J741" i="3"/>
  <c r="J742" i="3"/>
  <c r="J743" i="3"/>
  <c r="J744" i="3"/>
  <c r="J745" i="3"/>
  <c r="J746" i="3"/>
  <c r="J747" i="3"/>
  <c r="J748" i="3"/>
  <c r="J749" i="3"/>
  <c r="J750" i="3"/>
  <c r="J751" i="3"/>
  <c r="J752" i="3"/>
  <c r="J753" i="3"/>
  <c r="J754" i="3"/>
  <c r="J755" i="3"/>
  <c r="J756" i="3"/>
  <c r="J757" i="3"/>
  <c r="J758" i="3"/>
  <c r="J759" i="3"/>
  <c r="J760" i="3"/>
  <c r="J761" i="3"/>
  <c r="J762" i="3"/>
  <c r="J763" i="3"/>
  <c r="J764" i="3"/>
  <c r="J767" i="3"/>
  <c r="J768" i="3"/>
  <c r="J769" i="3"/>
  <c r="J770" i="3"/>
  <c r="J771" i="3"/>
  <c r="J772" i="3"/>
  <c r="J773" i="3"/>
  <c r="J776" i="3"/>
  <c r="J777" i="3"/>
  <c r="J778" i="3"/>
  <c r="J779" i="3"/>
  <c r="J780" i="3"/>
  <c r="J781" i="3"/>
  <c r="J782" i="3"/>
  <c r="J783" i="3"/>
  <c r="J784" i="3"/>
  <c r="J785" i="3"/>
  <c r="J786" i="3"/>
  <c r="J787" i="3"/>
  <c r="J788" i="3"/>
  <c r="J789" i="3"/>
  <c r="J790" i="3"/>
  <c r="J791" i="3"/>
  <c r="J792" i="3"/>
  <c r="J793" i="3"/>
  <c r="J794" i="3"/>
  <c r="J795" i="3"/>
  <c r="J796" i="3"/>
  <c r="J797" i="3"/>
  <c r="J798" i="3"/>
  <c r="J799" i="3"/>
  <c r="J800" i="3"/>
  <c r="J801" i="3"/>
  <c r="J802" i="3"/>
  <c r="J803" i="3"/>
  <c r="J804" i="3"/>
  <c r="J805" i="3"/>
  <c r="J806" i="3"/>
  <c r="J807" i="3"/>
  <c r="J808" i="3"/>
  <c r="J809" i="3"/>
  <c r="J810" i="3"/>
  <c r="J811" i="3"/>
  <c r="J812" i="3"/>
  <c r="J813" i="3"/>
  <c r="J814" i="3"/>
  <c r="J815" i="3"/>
  <c r="J816" i="3"/>
  <c r="J817" i="3"/>
  <c r="J818" i="3"/>
  <c r="J819" i="3"/>
  <c r="J820" i="3"/>
  <c r="J821" i="3"/>
  <c r="J822" i="3"/>
  <c r="J823" i="3"/>
  <c r="J824" i="3"/>
  <c r="J825" i="3"/>
  <c r="J826" i="3"/>
  <c r="J827" i="3"/>
  <c r="J828" i="3"/>
  <c r="J829" i="3"/>
  <c r="J830" i="3"/>
  <c r="J831" i="3"/>
  <c r="J832" i="3"/>
  <c r="J833" i="3"/>
  <c r="J834" i="3"/>
  <c r="J835" i="3"/>
  <c r="J836" i="3"/>
  <c r="J837" i="3"/>
  <c r="J838" i="3"/>
  <c r="J839" i="3"/>
  <c r="J840" i="3"/>
  <c r="J841" i="3"/>
  <c r="J842" i="3"/>
  <c r="J843" i="3"/>
  <c r="J844" i="3"/>
  <c r="J845" i="3"/>
  <c r="J846" i="3"/>
  <c r="J847" i="3"/>
  <c r="J848" i="3"/>
  <c r="J849" i="3"/>
  <c r="J850" i="3"/>
  <c r="J851" i="3"/>
  <c r="J852" i="3"/>
  <c r="J853" i="3"/>
  <c r="J854" i="3"/>
  <c r="J855" i="3"/>
  <c r="J856" i="3"/>
  <c r="J857" i="3"/>
  <c r="J858" i="3"/>
  <c r="J859" i="3"/>
  <c r="J862" i="3"/>
  <c r="J863" i="3"/>
  <c r="J864" i="3"/>
  <c r="J865" i="3"/>
  <c r="J866" i="3"/>
  <c r="J867" i="3"/>
  <c r="J868" i="3"/>
  <c r="J869" i="3"/>
  <c r="J870" i="3"/>
  <c r="J871" i="3"/>
  <c r="J872" i="3"/>
  <c r="J873" i="3"/>
  <c r="J874" i="3"/>
  <c r="J875" i="3"/>
  <c r="J876" i="3"/>
  <c r="J877" i="3"/>
  <c r="J878" i="3"/>
  <c r="J879" i="3"/>
  <c r="J880" i="3"/>
  <c r="J881" i="3"/>
  <c r="J882" i="3"/>
  <c r="J883" i="3"/>
  <c r="J884" i="3"/>
  <c r="J885" i="3"/>
  <c r="J886" i="3"/>
  <c r="J889" i="3"/>
  <c r="J891" i="3"/>
  <c r="J892" i="3"/>
  <c r="J893" i="3"/>
  <c r="J894" i="3"/>
  <c r="J895" i="3"/>
  <c r="J896" i="3"/>
  <c r="J897" i="3"/>
  <c r="J898" i="3"/>
  <c r="J899" i="3"/>
  <c r="J900" i="3"/>
  <c r="J901" i="3"/>
  <c r="J902" i="3"/>
  <c r="J903" i="3"/>
  <c r="J904" i="3"/>
  <c r="J905" i="3"/>
  <c r="J906" i="3"/>
  <c r="J907" i="3"/>
  <c r="J908" i="3"/>
  <c r="J909" i="3"/>
  <c r="J910" i="3"/>
  <c r="J911" i="3"/>
  <c r="J912" i="3"/>
  <c r="J913" i="3"/>
  <c r="J914" i="3"/>
  <c r="J915" i="3"/>
  <c r="J916" i="3"/>
  <c r="J918" i="3"/>
  <c r="J919" i="3"/>
  <c r="J920" i="3"/>
  <c r="J921" i="3"/>
  <c r="J922" i="3"/>
  <c r="J923" i="3"/>
  <c r="J924" i="3"/>
  <c r="J925" i="3"/>
  <c r="J926" i="3"/>
  <c r="J927" i="3"/>
  <c r="J928" i="3"/>
  <c r="J929" i="3"/>
  <c r="J930" i="3"/>
  <c r="J931" i="3"/>
  <c r="J932" i="3"/>
  <c r="J933" i="3"/>
  <c r="J934" i="3"/>
  <c r="J935" i="3"/>
  <c r="J936" i="3"/>
  <c r="J937" i="3"/>
  <c r="J938" i="3"/>
  <c r="J939" i="3"/>
  <c r="J940" i="3"/>
  <c r="J941" i="3"/>
  <c r="J942" i="3"/>
  <c r="J943" i="3"/>
  <c r="J944" i="3"/>
  <c r="J945" i="3"/>
  <c r="J946" i="3"/>
  <c r="J947" i="3"/>
  <c r="J948" i="3"/>
  <c r="J949" i="3"/>
  <c r="J950" i="3"/>
  <c r="J951" i="3"/>
  <c r="J952" i="3"/>
  <c r="J953" i="3"/>
  <c r="J954" i="3"/>
  <c r="J955" i="3"/>
  <c r="J956" i="3"/>
  <c r="J957" i="3"/>
  <c r="J958" i="3"/>
  <c r="J959" i="3"/>
  <c r="J960" i="3"/>
  <c r="J961" i="3"/>
  <c r="J962" i="3"/>
  <c r="J963" i="3"/>
  <c r="J964" i="3"/>
  <c r="J965" i="3"/>
  <c r="J966" i="3"/>
  <c r="J967" i="3"/>
  <c r="J968" i="3"/>
  <c r="J969" i="3"/>
  <c r="J970" i="3"/>
  <c r="J971" i="3"/>
  <c r="J972" i="3"/>
  <c r="J973" i="3"/>
  <c r="J974" i="3"/>
  <c r="J975" i="3"/>
  <c r="J976" i="3"/>
  <c r="J977" i="3"/>
  <c r="J978" i="3"/>
  <c r="J979" i="3"/>
  <c r="J980" i="3"/>
  <c r="J981" i="3"/>
  <c r="J982" i="3"/>
  <c r="J983" i="3"/>
  <c r="J984" i="3"/>
  <c r="J985" i="3"/>
  <c r="J986" i="3"/>
  <c r="J987" i="3"/>
  <c r="J988" i="3"/>
  <c r="J989" i="3"/>
  <c r="J990" i="3"/>
  <c r="J991" i="3"/>
  <c r="J992" i="3"/>
  <c r="J993" i="3"/>
  <c r="J994" i="3"/>
  <c r="J995" i="3"/>
  <c r="J996" i="3"/>
  <c r="J997" i="3"/>
  <c r="J998" i="3"/>
  <c r="J999" i="3"/>
  <c r="J1000" i="3"/>
  <c r="J1001" i="3"/>
  <c r="J1002" i="3"/>
  <c r="J1003" i="3"/>
  <c r="J1004" i="3"/>
  <c r="J110" i="3"/>
  <c r="J65" i="3"/>
  <c r="J66" i="3"/>
  <c r="J68" i="3"/>
  <c r="J69" i="3"/>
  <c r="J70" i="3"/>
  <c r="J72" i="3"/>
  <c r="J73" i="3"/>
  <c r="J74" i="3"/>
  <c r="J75" i="3"/>
  <c r="J76" i="3"/>
  <c r="J77" i="3"/>
  <c r="J78" i="3"/>
  <c r="J79" i="3"/>
  <c r="J80" i="3"/>
  <c r="J81" i="3"/>
  <c r="J82" i="3"/>
  <c r="J83" i="3"/>
  <c r="J84" i="3"/>
  <c r="J85" i="3"/>
  <c r="J86" i="3"/>
  <c r="J87" i="3"/>
  <c r="J88" i="3"/>
  <c r="J89" i="3"/>
  <c r="J90" i="3"/>
  <c r="J91" i="3"/>
  <c r="J92" i="3"/>
  <c r="J93" i="3"/>
  <c r="J94" i="3"/>
  <c r="J95" i="3"/>
  <c r="J96" i="3"/>
  <c r="J97" i="3"/>
  <c r="J98" i="3"/>
  <c r="J99" i="3"/>
  <c r="J100" i="3"/>
  <c r="J101" i="3"/>
  <c r="J102" i="3"/>
  <c r="J103" i="3"/>
  <c r="J104" i="3"/>
  <c r="J105" i="3"/>
  <c r="J106" i="3"/>
  <c r="J107" i="3"/>
  <c r="J108" i="3"/>
  <c r="J109" i="3"/>
  <c r="J111" i="3"/>
  <c r="J61" i="3"/>
  <c r="J24" i="3"/>
  <c r="J25" i="3"/>
  <c r="J28" i="3"/>
  <c r="J31" i="3"/>
  <c r="J32" i="3"/>
  <c r="J33" i="3"/>
  <c r="J34" i="3"/>
  <c r="J35" i="3"/>
  <c r="J36" i="3"/>
  <c r="J37" i="3"/>
  <c r="J38" i="3"/>
  <c r="J39" i="3"/>
  <c r="J40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J60" i="3"/>
  <c r="J62" i="3"/>
  <c r="H30" i="2"/>
  <c r="H31" i="2"/>
  <c r="H32" i="2"/>
  <c r="H33" i="2"/>
  <c r="H34" i="2"/>
  <c r="H35" i="2"/>
  <c r="H36" i="2"/>
  <c r="H41" i="2"/>
  <c r="H42" i="2"/>
  <c r="H43" i="2"/>
  <c r="H47" i="2"/>
  <c r="H52" i="2"/>
  <c r="H53" i="2"/>
  <c r="H54" i="2"/>
  <c r="H55" i="2"/>
  <c r="H56" i="2"/>
  <c r="H57" i="2"/>
  <c r="H58" i="2"/>
  <c r="H63" i="2"/>
  <c r="H64" i="2"/>
  <c r="H65" i="2"/>
  <c r="H68" i="2"/>
  <c r="H69" i="2"/>
  <c r="Q32" i="2"/>
  <c r="Q34" i="2"/>
  <c r="Q35" i="2"/>
  <c r="Q36" i="2"/>
  <c r="Q41" i="2"/>
  <c r="Q42" i="2"/>
  <c r="Q43" i="2"/>
  <c r="Q47" i="2"/>
  <c r="Q49" i="2"/>
  <c r="F30" i="2"/>
  <c r="F31" i="2"/>
  <c r="F32" i="2"/>
  <c r="F33" i="2"/>
  <c r="F34" i="2"/>
  <c r="F35" i="2"/>
  <c r="F36" i="2"/>
  <c r="F41" i="2"/>
  <c r="F42" i="2"/>
  <c r="F43" i="2"/>
  <c r="F47" i="2"/>
  <c r="F52" i="2"/>
  <c r="F53" i="2"/>
  <c r="F54" i="2"/>
  <c r="F55" i="2"/>
  <c r="F56" i="2"/>
  <c r="F57" i="2"/>
  <c r="F58" i="2"/>
  <c r="F63" i="2"/>
  <c r="F64" i="2"/>
  <c r="F65" i="2"/>
  <c r="F68" i="2"/>
  <c r="F69" i="2"/>
  <c r="O32" i="2"/>
  <c r="O30" i="2"/>
  <c r="O31" i="2"/>
  <c r="O33" i="2"/>
  <c r="O34" i="2"/>
  <c r="O35" i="2"/>
  <c r="O36" i="2"/>
  <c r="O41" i="2"/>
  <c r="O42" i="2"/>
  <c r="O43" i="2"/>
  <c r="O47" i="2"/>
  <c r="O49" i="2"/>
  <c r="G30" i="2"/>
  <c r="G31" i="2"/>
  <c r="G32" i="2"/>
  <c r="G33" i="2"/>
  <c r="G34" i="2"/>
  <c r="G35" i="2"/>
  <c r="G36" i="2"/>
  <c r="G41" i="2"/>
  <c r="G42" i="2"/>
  <c r="G43" i="2"/>
  <c r="G47" i="2"/>
  <c r="G52" i="2"/>
  <c r="G53" i="2"/>
  <c r="G50" i="2" s="1"/>
  <c r="G54" i="2"/>
  <c r="G55" i="2"/>
  <c r="G56" i="2"/>
  <c r="G57" i="2"/>
  <c r="G58" i="2"/>
  <c r="G63" i="2"/>
  <c r="G64" i="2"/>
  <c r="G65" i="2"/>
  <c r="G68" i="2"/>
  <c r="G69" i="2"/>
  <c r="P32" i="2"/>
  <c r="P34" i="2"/>
  <c r="P35" i="2"/>
  <c r="P36" i="2"/>
  <c r="P41" i="2"/>
  <c r="P42" i="2"/>
  <c r="P43" i="2"/>
  <c r="P47" i="2"/>
  <c r="P49" i="2"/>
  <c r="I30" i="2"/>
  <c r="I31" i="2"/>
  <c r="I32" i="2"/>
  <c r="I33" i="2"/>
  <c r="I34" i="2"/>
  <c r="I35" i="2"/>
  <c r="I36" i="2"/>
  <c r="I41" i="2"/>
  <c r="I42" i="2"/>
  <c r="I43" i="2"/>
  <c r="I47" i="2"/>
  <c r="I52" i="2"/>
  <c r="I53" i="2"/>
  <c r="I54" i="2"/>
  <c r="I55" i="2"/>
  <c r="I56" i="2"/>
  <c r="I57" i="2"/>
  <c r="I58" i="2"/>
  <c r="I63" i="2"/>
  <c r="I64" i="2"/>
  <c r="I65" i="2"/>
  <c r="I68" i="2"/>
  <c r="I69" i="2"/>
  <c r="R32" i="2"/>
  <c r="R34" i="2"/>
  <c r="R35" i="2"/>
  <c r="R36" i="2"/>
  <c r="R41" i="2"/>
  <c r="R42" i="2"/>
  <c r="R43" i="2"/>
  <c r="R47" i="2"/>
  <c r="R49" i="2"/>
  <c r="E30" i="2"/>
  <c r="E31" i="2"/>
  <c r="E32" i="2"/>
  <c r="E33" i="2"/>
  <c r="E34" i="2"/>
  <c r="E35" i="2"/>
  <c r="E36" i="2"/>
  <c r="E41" i="2"/>
  <c r="E42" i="2"/>
  <c r="E43" i="2"/>
  <c r="E47" i="2"/>
  <c r="E52" i="2"/>
  <c r="E53" i="2"/>
  <c r="E54" i="2"/>
  <c r="E55" i="2"/>
  <c r="E56" i="2"/>
  <c r="E57" i="2"/>
  <c r="E58" i="2"/>
  <c r="E63" i="2"/>
  <c r="E64" i="2"/>
  <c r="E65" i="2"/>
  <c r="E68" i="2"/>
  <c r="E69" i="2"/>
  <c r="N32" i="2"/>
  <c r="N30" i="2"/>
  <c r="N31" i="2"/>
  <c r="N33" i="2"/>
  <c r="N34" i="2"/>
  <c r="N35" i="2"/>
  <c r="N36" i="2"/>
  <c r="N41" i="2"/>
  <c r="N42" i="2"/>
  <c r="N43" i="2"/>
  <c r="N47" i="2"/>
  <c r="N49" i="2"/>
  <c r="C29" i="2"/>
  <c r="C51" i="2" s="1"/>
  <c r="E23" i="2"/>
  <c r="F23" i="2"/>
  <c r="B68" i="8"/>
  <c r="R33" i="2"/>
  <c r="Q33" i="2"/>
  <c r="M33" i="2"/>
  <c r="Q31" i="2"/>
  <c r="M31" i="2"/>
  <c r="R31" i="2"/>
  <c r="R30" i="2"/>
  <c r="M30" i="2"/>
  <c r="P33" i="2"/>
  <c r="P30" i="2"/>
  <c r="P31" i="2"/>
  <c r="Q30" i="2"/>
  <c r="Q56" i="8"/>
  <c r="AC23" i="11"/>
  <c r="Y67" i="5"/>
  <c r="Q23" i="5"/>
  <c r="U56" i="5"/>
  <c r="Q67" i="8"/>
  <c r="Q23" i="8"/>
  <c r="Q67" i="13"/>
  <c r="Q56" i="13"/>
  <c r="Q12" i="13"/>
  <c r="Q34" i="13"/>
  <c r="B68" i="11"/>
  <c r="I13" i="3"/>
  <c r="Q45" i="11"/>
  <c r="Q34" i="11"/>
  <c r="Q67" i="11"/>
  <c r="B68" i="5"/>
  <c r="I15" i="3"/>
  <c r="B68" i="13"/>
  <c r="B68" i="12"/>
  <c r="Q12" i="11"/>
  <c r="Q12" i="8"/>
  <c r="Q67" i="12"/>
  <c r="Y12" i="5"/>
  <c r="Q12" i="12"/>
  <c r="Q23" i="11"/>
  <c r="M23" i="5"/>
  <c r="U34" i="5"/>
  <c r="C40" i="2"/>
  <c r="Q56" i="11"/>
  <c r="Y34" i="8"/>
  <c r="AC56" i="5"/>
  <c r="Q34" i="5"/>
  <c r="Q45" i="8"/>
  <c r="Q34" i="8"/>
  <c r="Q45" i="13"/>
  <c r="Q23" i="13"/>
  <c r="M56" i="8"/>
  <c r="I16" i="3"/>
  <c r="D43" i="11"/>
  <c r="D8" i="12"/>
  <c r="D8" i="13"/>
  <c r="D49" i="13"/>
  <c r="B71" i="13"/>
  <c r="D20" i="11"/>
  <c r="D21" i="8"/>
  <c r="B75" i="5"/>
  <c r="B20" i="5"/>
  <c r="B48" i="8"/>
  <c r="B41" i="8"/>
  <c r="D43" i="12"/>
  <c r="D40" i="13"/>
  <c r="B75" i="12"/>
  <c r="B38" i="8"/>
  <c r="B21" i="8"/>
  <c r="D51" i="12"/>
  <c r="D29" i="11"/>
  <c r="D6" i="12"/>
  <c r="D71" i="12"/>
  <c r="D17" i="11"/>
  <c r="D48" i="5"/>
  <c r="B31" i="13"/>
  <c r="B41" i="11"/>
  <c r="D31" i="11"/>
  <c r="D76" i="8"/>
  <c r="B21" i="11"/>
  <c r="B20" i="11"/>
  <c r="D40" i="11"/>
  <c r="D4" i="13"/>
  <c r="B40" i="5"/>
  <c r="B63" i="5"/>
  <c r="D60" i="8"/>
  <c r="B9" i="8"/>
  <c r="B53" i="13"/>
  <c r="B72" i="13"/>
  <c r="D38" i="12"/>
  <c r="B39" i="12"/>
  <c r="B30" i="11"/>
  <c r="D27" i="8"/>
  <c r="B21" i="13"/>
  <c r="D54" i="5"/>
  <c r="D50" i="11"/>
  <c r="D75" i="12"/>
  <c r="D8" i="8"/>
  <c r="D17" i="13"/>
  <c r="B65" i="13"/>
  <c r="B51" i="5"/>
  <c r="B41" i="12"/>
  <c r="D4" i="8"/>
  <c r="B39" i="8"/>
  <c r="B29" i="5"/>
  <c r="D26" i="13"/>
  <c r="D61" i="11"/>
  <c r="D72" i="8"/>
  <c r="B7" i="12"/>
  <c r="D50" i="5"/>
  <c r="B27" i="5"/>
  <c r="B59" i="5"/>
  <c r="B75" i="11"/>
  <c r="D6" i="5"/>
  <c r="B15" i="13"/>
  <c r="B48" i="5"/>
  <c r="D8" i="11"/>
  <c r="B18" i="5"/>
  <c r="D54" i="11"/>
  <c r="B50" i="5"/>
  <c r="D53" i="11"/>
  <c r="D70" i="11"/>
  <c r="D9" i="5"/>
  <c r="B7" i="11"/>
  <c r="D63" i="5"/>
  <c r="B19" i="11"/>
  <c r="D64" i="13"/>
  <c r="B19" i="8"/>
  <c r="D73" i="11"/>
  <c r="D16" i="5"/>
  <c r="B17" i="11"/>
  <c r="B7" i="8"/>
  <c r="B62" i="13"/>
  <c r="B27" i="8"/>
  <c r="D17" i="12"/>
  <c r="D15" i="11"/>
  <c r="D75" i="8"/>
  <c r="B64" i="13"/>
  <c r="D42" i="11"/>
  <c r="B39" i="5"/>
  <c r="D51" i="5"/>
  <c r="B52" i="8"/>
  <c r="B48" i="11"/>
  <c r="D42" i="12"/>
  <c r="B65" i="12"/>
  <c r="D59" i="5"/>
  <c r="D64" i="8"/>
  <c r="B76" i="11"/>
  <c r="D18" i="12"/>
  <c r="B53" i="5"/>
  <c r="D61" i="12"/>
  <c r="B61" i="8"/>
  <c r="D28" i="8"/>
  <c r="B64" i="11"/>
  <c r="B19" i="13"/>
  <c r="D41" i="13"/>
  <c r="B18" i="12"/>
  <c r="D9" i="13"/>
  <c r="B50" i="8"/>
  <c r="B31" i="5"/>
  <c r="B5" i="5"/>
  <c r="D64" i="11"/>
  <c r="D52" i="13"/>
  <c r="B43" i="8"/>
  <c r="B15" i="5"/>
  <c r="B4" i="8"/>
  <c r="B6" i="5"/>
  <c r="B41" i="5"/>
  <c r="D37" i="8"/>
  <c r="B72" i="12"/>
  <c r="B26" i="11"/>
  <c r="D65" i="8"/>
  <c r="B31" i="8"/>
  <c r="B54" i="5"/>
  <c r="D64" i="5"/>
  <c r="D27" i="12"/>
  <c r="D43" i="8"/>
  <c r="D7" i="11"/>
  <c r="D74" i="5"/>
  <c r="D73" i="12"/>
  <c r="D39" i="12"/>
  <c r="D6" i="11"/>
  <c r="D50" i="12"/>
  <c r="B70" i="12"/>
  <c r="B28" i="13"/>
  <c r="B50" i="12"/>
  <c r="B27" i="13"/>
  <c r="D63" i="13"/>
  <c r="D62" i="12"/>
  <c r="B65" i="5"/>
  <c r="B38" i="11"/>
  <c r="B26" i="8"/>
  <c r="D32" i="12"/>
  <c r="D43" i="5"/>
  <c r="D72" i="13"/>
  <c r="D60" i="11"/>
  <c r="B75" i="13"/>
  <c r="B62" i="8"/>
  <c r="B15" i="11"/>
  <c r="B30" i="12"/>
  <c r="D32" i="8"/>
  <c r="B76" i="12"/>
  <c r="B10" i="12"/>
  <c r="B32" i="13"/>
  <c r="D16" i="11"/>
  <c r="D30" i="8"/>
  <c r="B16" i="5"/>
  <c r="B42" i="8"/>
  <c r="D10" i="11"/>
  <c r="B20" i="13"/>
  <c r="D48" i="11"/>
  <c r="D71" i="8"/>
  <c r="B6" i="13"/>
  <c r="D37" i="12"/>
  <c r="B4" i="11"/>
  <c r="B20" i="8"/>
  <c r="D29" i="5"/>
  <c r="D61" i="8"/>
  <c r="D60" i="5"/>
  <c r="D5" i="8"/>
  <c r="D17" i="5"/>
  <c r="D75" i="13"/>
  <c r="B48" i="13"/>
  <c r="B8" i="13"/>
  <c r="D32" i="11"/>
  <c r="D54" i="8"/>
  <c r="B37" i="12"/>
  <c r="B53" i="12"/>
  <c r="D6" i="13"/>
  <c r="D18" i="11"/>
  <c r="B49" i="12"/>
  <c r="B64" i="12"/>
  <c r="D61" i="13"/>
  <c r="B49" i="8"/>
  <c r="D59" i="13"/>
  <c r="D70" i="8"/>
  <c r="B40" i="12"/>
  <c r="D41" i="8"/>
  <c r="B49" i="11"/>
  <c r="B29" i="11"/>
  <c r="B43" i="5"/>
  <c r="D39" i="11"/>
  <c r="D19" i="11"/>
  <c r="D30" i="12"/>
  <c r="D49" i="11"/>
  <c r="B64" i="5"/>
  <c r="B59" i="12"/>
  <c r="B26" i="13"/>
  <c r="D49" i="5"/>
  <c r="B70" i="13"/>
  <c r="D4" i="12"/>
  <c r="B48" i="12"/>
  <c r="D71" i="13"/>
  <c r="B19" i="5"/>
  <c r="D28" i="5"/>
  <c r="D70" i="12"/>
  <c r="D10" i="13"/>
  <c r="D62" i="8"/>
  <c r="D48" i="13"/>
  <c r="B21" i="5"/>
  <c r="D18" i="13"/>
  <c r="B10" i="5"/>
  <c r="D63" i="11"/>
  <c r="B8" i="11"/>
  <c r="D37" i="11"/>
  <c r="B8" i="12"/>
  <c r="D74" i="11"/>
  <c r="B28" i="11"/>
  <c r="B38" i="13"/>
  <c r="B72" i="8"/>
  <c r="D43" i="13"/>
  <c r="B49" i="13"/>
  <c r="B39" i="11"/>
  <c r="B70" i="5"/>
  <c r="D27" i="11"/>
  <c r="B74" i="13"/>
  <c r="D29" i="12"/>
  <c r="B50" i="13"/>
  <c r="B73" i="13"/>
  <c r="B38" i="12"/>
  <c r="D61" i="5"/>
  <c r="B10" i="13"/>
  <c r="D42" i="5"/>
  <c r="D39" i="8"/>
  <c r="D49" i="8"/>
  <c r="B15" i="8"/>
  <c r="B60" i="12"/>
  <c r="D32" i="5"/>
  <c r="B59" i="13"/>
  <c r="D31" i="12"/>
  <c r="B65" i="11"/>
  <c r="B42" i="13"/>
  <c r="B40" i="8"/>
  <c r="B32" i="11"/>
  <c r="B42" i="12"/>
  <c r="B30" i="8"/>
  <c r="D52" i="12"/>
  <c r="B18" i="13"/>
  <c r="B5" i="11"/>
  <c r="D5" i="13"/>
  <c r="D27" i="13"/>
  <c r="D30" i="11"/>
  <c r="D7" i="8"/>
  <c r="D52" i="11"/>
  <c r="D41" i="12"/>
  <c r="D26" i="11"/>
  <c r="D73" i="5"/>
  <c r="D51" i="8"/>
  <c r="D9" i="12"/>
  <c r="D50" i="8"/>
  <c r="B53" i="11"/>
  <c r="B17" i="12"/>
  <c r="B28" i="5"/>
  <c r="B63" i="13"/>
  <c r="D5" i="11"/>
  <c r="D5" i="5"/>
  <c r="B4" i="12"/>
  <c r="B32" i="5"/>
  <c r="B62" i="5"/>
  <c r="D16" i="8"/>
  <c r="D76" i="13"/>
  <c r="D73" i="13"/>
  <c r="D48" i="8"/>
  <c r="D53" i="13"/>
  <c r="B20" i="12"/>
  <c r="B6" i="12"/>
  <c r="B28" i="8"/>
  <c r="D21" i="12"/>
  <c r="B74" i="5"/>
  <c r="B28" i="12"/>
  <c r="D19" i="12"/>
  <c r="D38" i="5"/>
  <c r="B73" i="12"/>
  <c r="B18" i="8"/>
  <c r="D59" i="12"/>
  <c r="D71" i="11"/>
  <c r="B63" i="8"/>
  <c r="D21" i="11"/>
  <c r="D20" i="8"/>
  <c r="B54" i="11"/>
  <c r="D7" i="5"/>
  <c r="B16" i="11"/>
  <c r="B8" i="5"/>
  <c r="D51" i="13"/>
  <c r="D19" i="5"/>
  <c r="D75" i="5"/>
  <c r="D48" i="12"/>
  <c r="D62" i="11"/>
  <c r="B37" i="13"/>
  <c r="B16" i="13"/>
  <c r="B10" i="11"/>
  <c r="D62" i="5"/>
  <c r="B71" i="5"/>
  <c r="B9" i="5"/>
  <c r="B53" i="8"/>
  <c r="D20" i="12"/>
  <c r="D10" i="5"/>
  <c r="B26" i="5"/>
  <c r="D6" i="8"/>
  <c r="B75" i="8"/>
  <c r="B42" i="5"/>
  <c r="D5" i="12"/>
  <c r="D9" i="11"/>
  <c r="B27" i="12"/>
  <c r="B73" i="5"/>
  <c r="B40" i="11"/>
  <c r="B52" i="13"/>
  <c r="B41" i="13"/>
  <c r="D75" i="11"/>
  <c r="D60" i="12"/>
  <c r="B74" i="11"/>
  <c r="D76" i="12"/>
  <c r="B32" i="12"/>
  <c r="D19" i="13"/>
  <c r="B63" i="12"/>
  <c r="D37" i="5"/>
  <c r="B61" i="12"/>
  <c r="B71" i="8"/>
  <c r="D63" i="8"/>
  <c r="B7" i="13"/>
  <c r="D28" i="13"/>
  <c r="D71" i="5"/>
  <c r="B60" i="11"/>
  <c r="D4" i="11"/>
  <c r="D10" i="8"/>
  <c r="D72" i="11"/>
  <c r="D65" i="5"/>
  <c r="B37" i="11"/>
  <c r="D30" i="13"/>
  <c r="B6" i="11"/>
  <c r="B16" i="8"/>
  <c r="B17" i="8"/>
  <c r="D26" i="8"/>
  <c r="D76" i="5"/>
  <c r="D51" i="11"/>
  <c r="B5" i="13"/>
  <c r="B63" i="11"/>
  <c r="B16" i="12"/>
  <c r="D40" i="5"/>
  <c r="B52" i="12"/>
  <c r="D9" i="8"/>
  <c r="D20" i="5"/>
  <c r="B9" i="13"/>
  <c r="D59" i="11"/>
  <c r="B49" i="5"/>
  <c r="B39" i="13"/>
  <c r="B54" i="8"/>
  <c r="D52" i="8"/>
  <c r="B17" i="5"/>
  <c r="D38" i="8"/>
  <c r="B52" i="5"/>
  <c r="B54" i="13"/>
  <c r="B4" i="13"/>
  <c r="D26" i="5"/>
  <c r="B60" i="5"/>
  <c r="D76" i="11"/>
  <c r="D70" i="13"/>
  <c r="B43" i="13"/>
  <c r="D39" i="5"/>
  <c r="B51" i="11"/>
  <c r="D30" i="5"/>
  <c r="D72" i="5"/>
  <c r="B59" i="11"/>
  <c r="B61" i="13"/>
  <c r="D8" i="5"/>
  <c r="B37" i="8"/>
  <c r="B8" i="8"/>
  <c r="B40" i="13"/>
  <c r="B30" i="5"/>
  <c r="D16" i="12"/>
  <c r="B71" i="11"/>
  <c r="D10" i="12"/>
  <c r="D65" i="13"/>
  <c r="B70" i="8"/>
  <c r="D53" i="12"/>
  <c r="D62" i="13"/>
  <c r="D74" i="12"/>
  <c r="B59" i="8"/>
  <c r="D27" i="5"/>
  <c r="D53" i="5"/>
  <c r="D53" i="8"/>
  <c r="D21" i="5"/>
  <c r="D15" i="12"/>
  <c r="D20" i="13"/>
  <c r="B5" i="12"/>
  <c r="D38" i="13"/>
  <c r="D49" i="12"/>
  <c r="D54" i="13"/>
  <c r="D28" i="12"/>
  <c r="D15" i="5"/>
  <c r="B43" i="12"/>
  <c r="D31" i="5"/>
  <c r="D41" i="5"/>
  <c r="B19" i="12"/>
  <c r="B74" i="8"/>
  <c r="B37" i="5"/>
  <c r="B65" i="8"/>
  <c r="B21" i="12"/>
  <c r="B17" i="13"/>
  <c r="D50" i="13"/>
  <c r="B38" i="5"/>
  <c r="D7" i="12"/>
  <c r="B9" i="12"/>
  <c r="B30" i="13"/>
  <c r="B42" i="11"/>
  <c r="D64" i="12"/>
  <c r="B62" i="12"/>
  <c r="D54" i="12"/>
  <c r="B61" i="5"/>
  <c r="D15" i="8"/>
  <c r="D40" i="12"/>
  <c r="D65" i="11"/>
  <c r="D18" i="8"/>
  <c r="B50" i="11"/>
  <c r="B6" i="8"/>
  <c r="D18" i="5"/>
  <c r="B61" i="11"/>
  <c r="B4" i="5"/>
  <c r="B15" i="12"/>
  <c r="B60" i="13"/>
  <c r="B64" i="8"/>
  <c r="B51" i="13"/>
  <c r="B73" i="8"/>
  <c r="B9" i="11"/>
  <c r="D60" i="13"/>
  <c r="B51" i="12"/>
  <c r="B29" i="12"/>
  <c r="D28" i="11"/>
  <c r="D38" i="11"/>
  <c r="D40" i="8"/>
  <c r="D15" i="13"/>
  <c r="B52" i="11"/>
  <c r="B76" i="8"/>
  <c r="D32" i="13"/>
  <c r="B72" i="11"/>
  <c r="D37" i="13"/>
  <c r="B76" i="13"/>
  <c r="B32" i="8"/>
  <c r="B29" i="13"/>
  <c r="D65" i="12"/>
  <c r="B71" i="12"/>
  <c r="D72" i="12"/>
  <c r="D17" i="8"/>
  <c r="B27" i="11"/>
  <c r="D42" i="13"/>
  <c r="D39" i="13"/>
  <c r="D70" i="5"/>
  <c r="D29" i="13"/>
  <c r="D4" i="5"/>
  <c r="D74" i="13"/>
  <c r="D41" i="11"/>
  <c r="D31" i="13"/>
  <c r="D42" i="8"/>
  <c r="B43" i="11"/>
  <c r="D19" i="8"/>
  <c r="D16" i="13"/>
  <c r="D59" i="8"/>
  <c r="D63" i="12"/>
  <c r="D52" i="5"/>
  <c r="B31" i="12"/>
  <c r="B51" i="8"/>
  <c r="B26" i="12"/>
  <c r="B73" i="11"/>
  <c r="B10" i="8"/>
  <c r="D31" i="8"/>
  <c r="D7" i="13"/>
  <c r="D29" i="8"/>
  <c r="B72" i="5"/>
  <c r="B18" i="11"/>
  <c r="B70" i="11"/>
  <c r="B29" i="8"/>
  <c r="B5" i="8"/>
  <c r="B60" i="8"/>
  <c r="D21" i="13"/>
  <c r="B31" i="11"/>
  <c r="B62" i="11"/>
  <c r="D73" i="8"/>
  <c r="D74" i="8"/>
  <c r="B74" i="12"/>
  <c r="B54" i="12"/>
  <c r="B7" i="5"/>
  <c r="D26" i="12"/>
  <c r="B76" i="5"/>
  <c r="O39" i="2" l="1"/>
  <c r="F61" i="2"/>
  <c r="N39" i="2"/>
  <c r="M67" i="8"/>
  <c r="M45" i="8"/>
  <c r="M12" i="8"/>
  <c r="M23" i="13"/>
  <c r="M67" i="12"/>
  <c r="M56" i="12"/>
  <c r="M23" i="12"/>
  <c r="M23" i="11"/>
  <c r="M12" i="11"/>
  <c r="U67" i="8"/>
  <c r="U56" i="8"/>
  <c r="U34" i="8"/>
  <c r="U23" i="8"/>
  <c r="U12" i="8"/>
  <c r="Y67" i="8"/>
  <c r="Y56" i="8"/>
  <c r="Y45" i="8"/>
  <c r="Y12" i="8"/>
  <c r="AC67" i="8"/>
  <c r="AC56" i="8"/>
  <c r="AC45" i="8"/>
  <c r="AC34" i="8"/>
  <c r="AC23" i="8"/>
  <c r="AC12" i="8"/>
  <c r="U67" i="13"/>
  <c r="U56" i="13"/>
  <c r="U45" i="13"/>
  <c r="U23" i="13"/>
  <c r="U12" i="13"/>
  <c r="U1" i="13"/>
  <c r="Y67" i="13"/>
  <c r="Y56" i="13"/>
  <c r="Y45" i="13"/>
  <c r="Y34" i="13"/>
  <c r="Y23" i="13"/>
  <c r="Y12" i="13"/>
  <c r="Y1" i="13"/>
  <c r="AC67" i="13"/>
  <c r="AC56" i="13"/>
  <c r="AC45" i="13"/>
  <c r="AC34" i="13"/>
  <c r="AC23" i="13"/>
  <c r="AC12" i="13"/>
  <c r="U67" i="12"/>
  <c r="U45" i="12"/>
  <c r="U34" i="12"/>
  <c r="U23" i="12"/>
  <c r="U1" i="12"/>
  <c r="Y67" i="12"/>
  <c r="Y56" i="12"/>
  <c r="Y45" i="12"/>
  <c r="Y34" i="12"/>
  <c r="Y23" i="12"/>
  <c r="AC67" i="12"/>
  <c r="AC23" i="12"/>
  <c r="U67" i="11"/>
  <c r="U56" i="11"/>
  <c r="U45" i="11"/>
  <c r="U23" i="11"/>
  <c r="U12" i="11"/>
  <c r="U1" i="11"/>
  <c r="Y56" i="11"/>
  <c r="Y45" i="11"/>
  <c r="AC67" i="11"/>
  <c r="AC45" i="11"/>
  <c r="AC12" i="11"/>
  <c r="U67" i="5"/>
  <c r="U45" i="5"/>
  <c r="U23" i="5"/>
  <c r="Y45" i="5"/>
  <c r="Y34" i="5"/>
  <c r="Y23" i="5"/>
  <c r="AC67" i="5"/>
  <c r="AC23" i="5"/>
  <c r="AC12" i="5"/>
  <c r="AC1" i="5"/>
  <c r="M67" i="5"/>
  <c r="M56" i="5"/>
  <c r="Q67" i="5"/>
  <c r="C21" i="2"/>
  <c r="J3" i="13" s="1"/>
  <c r="M56" i="11"/>
  <c r="M34" i="11"/>
  <c r="AC1" i="8"/>
  <c r="AD1" i="8" s="1"/>
  <c r="U34" i="13"/>
  <c r="U34" i="11"/>
  <c r="Y12" i="11"/>
  <c r="M34" i="12"/>
  <c r="M1" i="11"/>
  <c r="Y12" i="12"/>
  <c r="AC56" i="12"/>
  <c r="AC45" i="12"/>
  <c r="AC34" i="12"/>
  <c r="AC12" i="12"/>
  <c r="AC1" i="12"/>
  <c r="M34" i="13"/>
  <c r="V1" i="13"/>
  <c r="Y34" i="11"/>
  <c r="Y1" i="11"/>
  <c r="Z1" i="11" s="1"/>
  <c r="AC34" i="11"/>
  <c r="U12" i="5"/>
  <c r="U1" i="5"/>
  <c r="AC56" i="11"/>
  <c r="P39" i="2"/>
  <c r="H50" i="2"/>
  <c r="Y56" i="5"/>
  <c r="Y1" i="5"/>
  <c r="AC45" i="5"/>
  <c r="AC34" i="5"/>
  <c r="M45" i="5"/>
  <c r="M34" i="5"/>
  <c r="M12" i="5"/>
  <c r="Q56" i="5"/>
  <c r="Q45" i="5"/>
  <c r="N7" i="2"/>
  <c r="N28" i="2"/>
  <c r="E39" i="2"/>
  <c r="G61" i="2"/>
  <c r="Q28" i="2"/>
  <c r="L51" i="2"/>
  <c r="C62" i="2"/>
  <c r="L40" i="2"/>
  <c r="L29" i="2"/>
  <c r="I28" i="2"/>
  <c r="J3" i="12"/>
  <c r="M23" i="8"/>
  <c r="Q1" i="13"/>
  <c r="Q45" i="12"/>
  <c r="F50" i="2"/>
  <c r="F39" i="2"/>
  <c r="H28" i="2"/>
  <c r="U12" i="12"/>
  <c r="Q56" i="12"/>
  <c r="Q1" i="11"/>
  <c r="E28" i="2"/>
  <c r="I61" i="2"/>
  <c r="G39" i="2"/>
  <c r="H39" i="2"/>
  <c r="M45" i="13"/>
  <c r="U56" i="12"/>
  <c r="Q12" i="5"/>
  <c r="Q1" i="5"/>
  <c r="Q1" i="8"/>
  <c r="Q23" i="12"/>
  <c r="Y1" i="8"/>
  <c r="AC1" i="13"/>
  <c r="AD1" i="13" s="1"/>
  <c r="Y1" i="12"/>
  <c r="AC1" i="11"/>
  <c r="M1" i="5"/>
  <c r="Q34" i="12"/>
  <c r="Q1" i="12"/>
  <c r="A2" i="4"/>
  <c r="C30" i="8"/>
  <c r="H30" i="8"/>
  <c r="I30" i="8"/>
  <c r="G30" i="8"/>
  <c r="E30" i="8"/>
  <c r="F30" i="8"/>
  <c r="F37" i="5"/>
  <c r="C64" i="8"/>
  <c r="I64" i="8"/>
  <c r="H64" i="8"/>
  <c r="F64" i="8"/>
  <c r="G64" i="8"/>
  <c r="E64" i="8"/>
  <c r="F43" i="8"/>
  <c r="C43" i="8"/>
  <c r="I43" i="8"/>
  <c r="G43" i="8"/>
  <c r="H43" i="8"/>
  <c r="E43" i="8"/>
  <c r="F31" i="5"/>
  <c r="C43" i="13"/>
  <c r="E43" i="13"/>
  <c r="H43" i="13"/>
  <c r="G43" i="13"/>
  <c r="I43" i="13"/>
  <c r="F43" i="13"/>
  <c r="F50" i="5"/>
  <c r="F27" i="8"/>
  <c r="F15" i="5"/>
  <c r="G10" i="13"/>
  <c r="F10" i="13"/>
  <c r="C10" i="13"/>
  <c r="I10" i="13"/>
  <c r="H10" i="13"/>
  <c r="E10" i="13"/>
  <c r="F15" i="8"/>
  <c r="F18" i="13"/>
  <c r="C18" i="13"/>
  <c r="H18" i="13"/>
  <c r="E18" i="13"/>
  <c r="I18" i="13"/>
  <c r="G18" i="13"/>
  <c r="G54" i="12"/>
  <c r="C54" i="12"/>
  <c r="F54" i="12"/>
  <c r="H54" i="12"/>
  <c r="I54" i="12"/>
  <c r="E54" i="12"/>
  <c r="C31" i="8"/>
  <c r="H31" i="8"/>
  <c r="E31" i="8"/>
  <c r="I31" i="8"/>
  <c r="G31" i="8"/>
  <c r="F31" i="8"/>
  <c r="I65" i="11"/>
  <c r="F65" i="11"/>
  <c r="H65" i="11"/>
  <c r="G65" i="11"/>
  <c r="E65" i="11"/>
  <c r="C65" i="11"/>
  <c r="F50" i="8"/>
  <c r="H41" i="13"/>
  <c r="G41" i="13"/>
  <c r="E41" i="13"/>
  <c r="F41" i="13"/>
  <c r="I41" i="13"/>
  <c r="C41" i="13"/>
  <c r="F7" i="5"/>
  <c r="G62" i="13"/>
  <c r="E62" i="13"/>
  <c r="F62" i="13"/>
  <c r="I62" i="13"/>
  <c r="C62" i="13"/>
  <c r="H62" i="13"/>
  <c r="G10" i="8"/>
  <c r="H10" i="8"/>
  <c r="E10" i="8"/>
  <c r="F10" i="8"/>
  <c r="C10" i="8"/>
  <c r="I10" i="8"/>
  <c r="F43" i="5"/>
  <c r="H43" i="5"/>
  <c r="G43" i="5"/>
  <c r="I43" i="5"/>
  <c r="E43" i="5"/>
  <c r="C43" i="5"/>
  <c r="F51" i="8"/>
  <c r="F72" i="5"/>
  <c r="H38" i="13"/>
  <c r="I38" i="13"/>
  <c r="G38" i="13"/>
  <c r="E38" i="13"/>
  <c r="F38" i="13"/>
  <c r="C38" i="13"/>
  <c r="F18" i="5"/>
  <c r="I21" i="13"/>
  <c r="H21" i="13"/>
  <c r="G21" i="13"/>
  <c r="F21" i="13"/>
  <c r="C21" i="13"/>
  <c r="E21" i="13"/>
  <c r="I52" i="13"/>
  <c r="H52" i="13"/>
  <c r="G52" i="13"/>
  <c r="F52" i="13"/>
  <c r="C52" i="13"/>
  <c r="E52" i="13"/>
  <c r="F8" i="5"/>
  <c r="H62" i="12"/>
  <c r="I62" i="12"/>
  <c r="E62" i="12"/>
  <c r="F62" i="12"/>
  <c r="C62" i="12"/>
  <c r="G62" i="12"/>
  <c r="F38" i="5"/>
  <c r="F29" i="11"/>
  <c r="H20" i="8"/>
  <c r="G20" i="8"/>
  <c r="C20" i="8"/>
  <c r="I20" i="8"/>
  <c r="E20" i="8"/>
  <c r="F20" i="8"/>
  <c r="F51" i="13"/>
  <c r="H51" i="13"/>
  <c r="C51" i="13"/>
  <c r="I51" i="13"/>
  <c r="E51" i="13"/>
  <c r="G51" i="13"/>
  <c r="H42" i="13"/>
  <c r="E42" i="13"/>
  <c r="G42" i="13"/>
  <c r="I42" i="13"/>
  <c r="F42" i="13"/>
  <c r="C42" i="13"/>
  <c r="I52" i="12"/>
  <c r="E52" i="12"/>
  <c r="F52" i="12"/>
  <c r="H52" i="12"/>
  <c r="C52" i="12"/>
  <c r="G52" i="12"/>
  <c r="F7" i="8"/>
  <c r="C42" i="12"/>
  <c r="E42" i="12"/>
  <c r="G42" i="12"/>
  <c r="I42" i="12"/>
  <c r="F42" i="12"/>
  <c r="H42" i="12"/>
  <c r="F40" i="11"/>
  <c r="F16" i="11"/>
  <c r="F60" i="5"/>
  <c r="F17" i="5"/>
  <c r="F49" i="11"/>
  <c r="F4" i="11"/>
  <c r="F5" i="11"/>
  <c r="E41" i="5"/>
  <c r="C41" i="5"/>
  <c r="H41" i="5"/>
  <c r="F41" i="5"/>
  <c r="G41" i="5"/>
  <c r="I41" i="5"/>
  <c r="F31" i="11"/>
  <c r="F37" i="8"/>
  <c r="I38" i="12"/>
  <c r="C38" i="12"/>
  <c r="E38" i="12"/>
  <c r="F38" i="12"/>
  <c r="G38" i="12"/>
  <c r="H38" i="12"/>
  <c r="F28" i="11"/>
  <c r="F48" i="5"/>
  <c r="F30" i="11"/>
  <c r="G19" i="5"/>
  <c r="F19" i="5"/>
  <c r="C19" i="5"/>
  <c r="I19" i="5"/>
  <c r="H19" i="5"/>
  <c r="E19" i="5"/>
  <c r="F73" i="11"/>
  <c r="F73" i="5"/>
  <c r="F71" i="11"/>
  <c r="I29" i="13"/>
  <c r="F29" i="13"/>
  <c r="C29" i="13"/>
  <c r="G29" i="13"/>
  <c r="E29" i="13"/>
  <c r="H29" i="13"/>
  <c r="I18" i="12"/>
  <c r="E18" i="12"/>
  <c r="G18" i="12"/>
  <c r="H18" i="12"/>
  <c r="C18" i="12"/>
  <c r="F18" i="12"/>
  <c r="C65" i="12"/>
  <c r="H65" i="12"/>
  <c r="F65" i="12"/>
  <c r="E65" i="12"/>
  <c r="G65" i="12"/>
  <c r="I65" i="12"/>
  <c r="E15" i="13"/>
  <c r="G15" i="13"/>
  <c r="I15" i="13"/>
  <c r="C15" i="13"/>
  <c r="H15" i="13"/>
  <c r="F15" i="13"/>
  <c r="I39" i="12"/>
  <c r="H39" i="12"/>
  <c r="F39" i="12"/>
  <c r="C39" i="12"/>
  <c r="E39" i="12"/>
  <c r="G39" i="12"/>
  <c r="F17" i="11"/>
  <c r="F50" i="11"/>
  <c r="I27" i="12"/>
  <c r="F27" i="12"/>
  <c r="C27" i="12"/>
  <c r="H27" i="12"/>
  <c r="G27" i="12"/>
  <c r="E27" i="12"/>
  <c r="F54" i="11"/>
  <c r="G54" i="11"/>
  <c r="I54" i="11"/>
  <c r="E54" i="11"/>
  <c r="C54" i="11"/>
  <c r="H54" i="11"/>
  <c r="E31" i="12"/>
  <c r="F31" i="12"/>
  <c r="I31" i="12"/>
  <c r="C31" i="12"/>
  <c r="G31" i="12"/>
  <c r="H31" i="12"/>
  <c r="C43" i="11"/>
  <c r="I43" i="11"/>
  <c r="F43" i="11"/>
  <c r="H43" i="11"/>
  <c r="G43" i="11"/>
  <c r="E43" i="11"/>
  <c r="E40" i="12"/>
  <c r="H40" i="12"/>
  <c r="G40" i="12"/>
  <c r="F40" i="12"/>
  <c r="I40" i="12"/>
  <c r="C40" i="12"/>
  <c r="E6" i="13"/>
  <c r="F6" i="13"/>
  <c r="I6" i="13"/>
  <c r="H6" i="13"/>
  <c r="C6" i="13"/>
  <c r="G6" i="13"/>
  <c r="I7" i="13"/>
  <c r="C7" i="13"/>
  <c r="G7" i="13"/>
  <c r="E7" i="13"/>
  <c r="F7" i="13"/>
  <c r="H7" i="13"/>
  <c r="F51" i="11"/>
  <c r="E43" i="12"/>
  <c r="C43" i="12"/>
  <c r="G43" i="12"/>
  <c r="H43" i="12"/>
  <c r="I43" i="12"/>
  <c r="F43" i="12"/>
  <c r="I5" i="12"/>
  <c r="E5" i="12"/>
  <c r="C5" i="12"/>
  <c r="H5" i="12"/>
  <c r="G5" i="12"/>
  <c r="F5" i="12"/>
  <c r="C73" i="13"/>
  <c r="E73" i="13"/>
  <c r="H73" i="13"/>
  <c r="G73" i="13"/>
  <c r="F73" i="13"/>
  <c r="I73" i="13"/>
  <c r="F74" i="8"/>
  <c r="I76" i="5"/>
  <c r="E76" i="5"/>
  <c r="H76" i="5"/>
  <c r="G76" i="5"/>
  <c r="F76" i="5"/>
  <c r="C76" i="5"/>
  <c r="F75" i="11"/>
  <c r="F72" i="13"/>
  <c r="H40" i="13"/>
  <c r="G40" i="13"/>
  <c r="E40" i="13"/>
  <c r="I40" i="13"/>
  <c r="C40" i="13"/>
  <c r="F40" i="13"/>
  <c r="F4" i="5"/>
  <c r="F50" i="13"/>
  <c r="I50" i="13"/>
  <c r="E50" i="13"/>
  <c r="C50" i="13"/>
  <c r="G50" i="13"/>
  <c r="H50" i="13"/>
  <c r="F8" i="12"/>
  <c r="G8" i="12"/>
  <c r="I8" i="12"/>
  <c r="H8" i="12"/>
  <c r="E8" i="12"/>
  <c r="C8" i="12"/>
  <c r="F59" i="5"/>
  <c r="I53" i="13"/>
  <c r="H53" i="13"/>
  <c r="F53" i="13"/>
  <c r="C53" i="13"/>
  <c r="G53" i="13"/>
  <c r="E53" i="13"/>
  <c r="E48" i="12"/>
  <c r="C48" i="12"/>
  <c r="I48" i="12"/>
  <c r="F48" i="12"/>
  <c r="G48" i="12"/>
  <c r="H48" i="12"/>
  <c r="F61" i="5"/>
  <c r="C42" i="5"/>
  <c r="I42" i="5"/>
  <c r="F42" i="5"/>
  <c r="H42" i="5"/>
  <c r="G42" i="5"/>
  <c r="E42" i="5"/>
  <c r="G63" i="8"/>
  <c r="C63" i="8"/>
  <c r="H63" i="8"/>
  <c r="F63" i="8"/>
  <c r="E63" i="8"/>
  <c r="I63" i="8"/>
  <c r="C51" i="12"/>
  <c r="H51" i="12"/>
  <c r="I51" i="12"/>
  <c r="F51" i="12"/>
  <c r="E51" i="12"/>
  <c r="G51" i="12"/>
  <c r="C9" i="11"/>
  <c r="F9" i="11"/>
  <c r="G9" i="11"/>
  <c r="H9" i="11"/>
  <c r="E9" i="11"/>
  <c r="I9" i="11"/>
  <c r="F49" i="8"/>
  <c r="I20" i="13"/>
  <c r="E20" i="13"/>
  <c r="G20" i="13"/>
  <c r="F20" i="13"/>
  <c r="C20" i="13"/>
  <c r="H20" i="13"/>
  <c r="C9" i="13"/>
  <c r="F9" i="13"/>
  <c r="I9" i="13"/>
  <c r="G9" i="13"/>
  <c r="E9" i="13"/>
  <c r="H9" i="13"/>
  <c r="C60" i="12"/>
  <c r="H60" i="12"/>
  <c r="E60" i="12"/>
  <c r="G60" i="12"/>
  <c r="F60" i="12"/>
  <c r="I60" i="12"/>
  <c r="F27" i="11"/>
  <c r="H32" i="8"/>
  <c r="F32" i="8"/>
  <c r="G32" i="8"/>
  <c r="I32" i="8"/>
  <c r="E32" i="8"/>
  <c r="C32" i="8"/>
  <c r="E19" i="13"/>
  <c r="H19" i="13"/>
  <c r="I19" i="13"/>
  <c r="C19" i="13"/>
  <c r="F19" i="13"/>
  <c r="G19" i="13"/>
  <c r="F48" i="11"/>
  <c r="F27" i="5"/>
  <c r="E9" i="8"/>
  <c r="I9" i="8"/>
  <c r="C9" i="8"/>
  <c r="F9" i="8"/>
  <c r="H9" i="8"/>
  <c r="G9" i="8"/>
  <c r="F75" i="8"/>
  <c r="F71" i="8"/>
  <c r="F70" i="8"/>
  <c r="F17" i="13"/>
  <c r="H17" i="13"/>
  <c r="G17" i="13"/>
  <c r="E17" i="13"/>
  <c r="I17" i="13"/>
  <c r="C17" i="13"/>
  <c r="I64" i="12"/>
  <c r="G64" i="12"/>
  <c r="F64" i="12"/>
  <c r="H64" i="12"/>
  <c r="E64" i="12"/>
  <c r="C64" i="12"/>
  <c r="C42" i="8"/>
  <c r="F42" i="8"/>
  <c r="H42" i="8"/>
  <c r="G42" i="8"/>
  <c r="E42" i="8"/>
  <c r="I42" i="8"/>
  <c r="G62" i="11"/>
  <c r="C62" i="11"/>
  <c r="E62" i="11"/>
  <c r="F62" i="11"/>
  <c r="I62" i="11"/>
  <c r="H62" i="11"/>
  <c r="F6" i="8"/>
  <c r="G16" i="12"/>
  <c r="F16" i="12"/>
  <c r="C16" i="12"/>
  <c r="I16" i="12"/>
  <c r="E16" i="12"/>
  <c r="H16" i="12"/>
  <c r="F17" i="8"/>
  <c r="C42" i="11"/>
  <c r="E42" i="11"/>
  <c r="I42" i="11"/>
  <c r="F42" i="11"/>
  <c r="G42" i="11"/>
  <c r="H42" i="11"/>
  <c r="F52" i="8"/>
  <c r="E52" i="8"/>
  <c r="I52" i="8"/>
  <c r="C52" i="8"/>
  <c r="G52" i="8"/>
  <c r="H52" i="8"/>
  <c r="H63" i="5"/>
  <c r="F63" i="5"/>
  <c r="E63" i="5"/>
  <c r="I63" i="5"/>
  <c r="C63" i="5"/>
  <c r="G63" i="5"/>
  <c r="F19" i="8"/>
  <c r="G32" i="11"/>
  <c r="E32" i="11"/>
  <c r="H32" i="11"/>
  <c r="F32" i="11"/>
  <c r="C32" i="11"/>
  <c r="I32" i="11"/>
  <c r="G7" i="12"/>
  <c r="C7" i="12"/>
  <c r="H7" i="12"/>
  <c r="I7" i="12"/>
  <c r="E7" i="12"/>
  <c r="F7" i="12"/>
  <c r="F18" i="8"/>
  <c r="I64" i="11"/>
  <c r="H64" i="11"/>
  <c r="C64" i="11"/>
  <c r="E64" i="11"/>
  <c r="F64" i="11"/>
  <c r="G64" i="11"/>
  <c r="H54" i="8"/>
  <c r="F54" i="8"/>
  <c r="I54" i="8"/>
  <c r="E54" i="8"/>
  <c r="G54" i="8"/>
  <c r="C54" i="8"/>
  <c r="F26" i="5"/>
  <c r="F16" i="5"/>
  <c r="E61" i="12"/>
  <c r="I61" i="12"/>
  <c r="F61" i="12"/>
  <c r="H61" i="12"/>
  <c r="G61" i="12"/>
  <c r="C61" i="12"/>
  <c r="F6" i="5"/>
  <c r="F49" i="12"/>
  <c r="G49" i="12"/>
  <c r="H49" i="12"/>
  <c r="C49" i="12"/>
  <c r="I49" i="12"/>
  <c r="E49" i="12"/>
  <c r="F60" i="8"/>
  <c r="C4" i="13"/>
  <c r="E4" i="13"/>
  <c r="G4" i="13"/>
  <c r="I4" i="13"/>
  <c r="F4" i="13"/>
  <c r="H4" i="13"/>
  <c r="F8" i="11"/>
  <c r="I60" i="13"/>
  <c r="E60" i="13"/>
  <c r="H60" i="13"/>
  <c r="F60" i="13"/>
  <c r="C60" i="13"/>
  <c r="G60" i="13"/>
  <c r="F40" i="5"/>
  <c r="F70" i="13"/>
  <c r="F73" i="12"/>
  <c r="G73" i="12"/>
  <c r="E73" i="12"/>
  <c r="I73" i="12"/>
  <c r="C73" i="12"/>
  <c r="H73" i="12"/>
  <c r="G74" i="13"/>
  <c r="C74" i="13"/>
  <c r="I74" i="13"/>
  <c r="E74" i="13"/>
  <c r="H74" i="13"/>
  <c r="F74" i="13"/>
  <c r="F73" i="8"/>
  <c r="E76" i="13"/>
  <c r="C76" i="13"/>
  <c r="I76" i="13"/>
  <c r="H76" i="13"/>
  <c r="G76" i="13"/>
  <c r="F76" i="13"/>
  <c r="C74" i="12"/>
  <c r="I74" i="12"/>
  <c r="H74" i="12"/>
  <c r="F74" i="12"/>
  <c r="G74" i="12"/>
  <c r="E74" i="12"/>
  <c r="C21" i="12"/>
  <c r="F21" i="12"/>
  <c r="H21" i="12"/>
  <c r="G21" i="12"/>
  <c r="I21" i="12"/>
  <c r="E21" i="12"/>
  <c r="E62" i="5"/>
  <c r="I62" i="5"/>
  <c r="C62" i="5"/>
  <c r="F62" i="5"/>
  <c r="G62" i="5"/>
  <c r="H62" i="5"/>
  <c r="E53" i="8"/>
  <c r="H53" i="8"/>
  <c r="G53" i="8"/>
  <c r="F53" i="8"/>
  <c r="I53" i="8"/>
  <c r="C53" i="8"/>
  <c r="I32" i="13"/>
  <c r="H32" i="13"/>
  <c r="G32" i="13"/>
  <c r="E32" i="13"/>
  <c r="C32" i="13"/>
  <c r="F32" i="13"/>
  <c r="F19" i="12"/>
  <c r="H19" i="12"/>
  <c r="I19" i="12"/>
  <c r="E19" i="12"/>
  <c r="C19" i="12"/>
  <c r="G19" i="12"/>
  <c r="F26" i="8"/>
  <c r="H54" i="5"/>
  <c r="I54" i="5"/>
  <c r="F54" i="5"/>
  <c r="C54" i="5"/>
  <c r="E54" i="5"/>
  <c r="G54" i="5"/>
  <c r="C53" i="12"/>
  <c r="E53" i="12"/>
  <c r="F53" i="12"/>
  <c r="G53" i="12"/>
  <c r="I53" i="12"/>
  <c r="H53" i="12"/>
  <c r="F16" i="8"/>
  <c r="F37" i="11"/>
  <c r="H30" i="13"/>
  <c r="G30" i="13"/>
  <c r="E30" i="13"/>
  <c r="I30" i="13"/>
  <c r="C30" i="13"/>
  <c r="F30" i="13"/>
  <c r="F39" i="5"/>
  <c r="E63" i="11"/>
  <c r="I63" i="11"/>
  <c r="C63" i="11"/>
  <c r="G63" i="11"/>
  <c r="H63" i="11"/>
  <c r="F63" i="11"/>
  <c r="E21" i="8"/>
  <c r="G21" i="8"/>
  <c r="C21" i="8"/>
  <c r="H21" i="8"/>
  <c r="F21" i="8"/>
  <c r="I21" i="8"/>
  <c r="I20" i="11"/>
  <c r="F20" i="11"/>
  <c r="E20" i="11"/>
  <c r="H20" i="11"/>
  <c r="C20" i="11"/>
  <c r="G20" i="11"/>
  <c r="I19" i="11"/>
  <c r="H19" i="11"/>
  <c r="C19" i="11"/>
  <c r="E19" i="11"/>
  <c r="F19" i="11"/>
  <c r="G19" i="11"/>
  <c r="F26" i="11"/>
  <c r="F32" i="5"/>
  <c r="E32" i="5"/>
  <c r="I32" i="5"/>
  <c r="C32" i="5"/>
  <c r="H32" i="5"/>
  <c r="G32" i="5"/>
  <c r="F29" i="5"/>
  <c r="H28" i="12"/>
  <c r="E28" i="12"/>
  <c r="C28" i="12"/>
  <c r="I28" i="12"/>
  <c r="G28" i="12"/>
  <c r="F28" i="12"/>
  <c r="F61" i="8"/>
  <c r="F38" i="11"/>
  <c r="H39" i="13"/>
  <c r="E39" i="13"/>
  <c r="G39" i="13"/>
  <c r="F39" i="13"/>
  <c r="C39" i="13"/>
  <c r="I39" i="13"/>
  <c r="F9" i="5"/>
  <c r="H10" i="12"/>
  <c r="C10" i="12"/>
  <c r="I10" i="12"/>
  <c r="F10" i="12"/>
  <c r="G10" i="12"/>
  <c r="E10" i="12"/>
  <c r="F29" i="8"/>
  <c r="E63" i="12"/>
  <c r="C63" i="12"/>
  <c r="H63" i="12"/>
  <c r="G63" i="12"/>
  <c r="F63" i="12"/>
  <c r="I63" i="12"/>
  <c r="C59" i="13"/>
  <c r="G59" i="13"/>
  <c r="E59" i="13"/>
  <c r="I59" i="13"/>
  <c r="H59" i="13"/>
  <c r="F59" i="13"/>
  <c r="F37" i="12"/>
  <c r="E37" i="12"/>
  <c r="C37" i="12"/>
  <c r="I37" i="12"/>
  <c r="G37" i="12"/>
  <c r="H37" i="12"/>
  <c r="F38" i="8"/>
  <c r="F61" i="11"/>
  <c r="I54" i="13"/>
  <c r="C54" i="13"/>
  <c r="E54" i="13"/>
  <c r="H54" i="13"/>
  <c r="F54" i="13"/>
  <c r="G54" i="13"/>
  <c r="F10" i="5"/>
  <c r="H4" i="12"/>
  <c r="F4" i="12"/>
  <c r="G4" i="12"/>
  <c r="E4" i="12"/>
  <c r="I4" i="12"/>
  <c r="C4" i="12"/>
  <c r="F8" i="8"/>
  <c r="E8" i="8"/>
  <c r="I8" i="8"/>
  <c r="H8" i="8"/>
  <c r="G8" i="8"/>
  <c r="C8" i="8"/>
  <c r="H21" i="11"/>
  <c r="E21" i="11"/>
  <c r="G21" i="11"/>
  <c r="F21" i="11"/>
  <c r="C21" i="11"/>
  <c r="I21" i="11"/>
  <c r="C26" i="13"/>
  <c r="G26" i="13"/>
  <c r="F26" i="13"/>
  <c r="H26" i="13"/>
  <c r="E26" i="13"/>
  <c r="I26" i="13"/>
  <c r="F65" i="5"/>
  <c r="C65" i="5"/>
  <c r="H65" i="5"/>
  <c r="E65" i="5"/>
  <c r="I65" i="5"/>
  <c r="G65" i="5"/>
  <c r="H29" i="12"/>
  <c r="C29" i="12"/>
  <c r="G29" i="12"/>
  <c r="I29" i="12"/>
  <c r="F29" i="12"/>
  <c r="E29" i="12"/>
  <c r="F39" i="8"/>
  <c r="F74" i="5"/>
  <c r="F76" i="8"/>
  <c r="C76" i="8"/>
  <c r="E76" i="8"/>
  <c r="G76" i="8"/>
  <c r="I76" i="8"/>
  <c r="H76" i="8"/>
  <c r="F70" i="5"/>
  <c r="F71" i="5"/>
  <c r="I75" i="12"/>
  <c r="F75" i="12"/>
  <c r="H75" i="12"/>
  <c r="C75" i="12"/>
  <c r="E75" i="12"/>
  <c r="G75" i="12"/>
  <c r="I76" i="12"/>
  <c r="G76" i="12"/>
  <c r="H76" i="12"/>
  <c r="F76" i="12"/>
  <c r="E76" i="12"/>
  <c r="C76" i="12"/>
  <c r="I59" i="12"/>
  <c r="E59" i="12"/>
  <c r="C59" i="12"/>
  <c r="H59" i="12"/>
  <c r="F59" i="12"/>
  <c r="G59" i="12"/>
  <c r="F5" i="5"/>
  <c r="H63" i="13"/>
  <c r="E63" i="13"/>
  <c r="G63" i="13"/>
  <c r="C63" i="13"/>
  <c r="F63" i="13"/>
  <c r="I63" i="13"/>
  <c r="H41" i="12"/>
  <c r="I41" i="12"/>
  <c r="G41" i="12"/>
  <c r="C41" i="12"/>
  <c r="E41" i="12"/>
  <c r="F41" i="12"/>
  <c r="F28" i="8"/>
  <c r="F39" i="11"/>
  <c r="C27" i="13"/>
  <c r="G27" i="13"/>
  <c r="I27" i="13"/>
  <c r="E27" i="13"/>
  <c r="H27" i="13"/>
  <c r="F27" i="13"/>
  <c r="G65" i="8"/>
  <c r="F65" i="8"/>
  <c r="C65" i="8"/>
  <c r="I65" i="8"/>
  <c r="H65" i="8"/>
  <c r="E65" i="8"/>
  <c r="I10" i="11"/>
  <c r="E10" i="11"/>
  <c r="C10" i="11"/>
  <c r="G10" i="11"/>
  <c r="F10" i="11"/>
  <c r="H10" i="11"/>
  <c r="F30" i="12"/>
  <c r="H30" i="12"/>
  <c r="C30" i="12"/>
  <c r="I30" i="12"/>
  <c r="G30" i="12"/>
  <c r="E30" i="12"/>
  <c r="C61" i="13"/>
  <c r="E61" i="13"/>
  <c r="F61" i="13"/>
  <c r="I61" i="13"/>
  <c r="G61" i="13"/>
  <c r="H61" i="13"/>
  <c r="F30" i="5"/>
  <c r="F59" i="11"/>
  <c r="I8" i="13"/>
  <c r="G8" i="13"/>
  <c r="C8" i="13"/>
  <c r="F8" i="13"/>
  <c r="H8" i="13"/>
  <c r="E8" i="13"/>
  <c r="H41" i="8"/>
  <c r="F41" i="8"/>
  <c r="I41" i="8"/>
  <c r="C41" i="8"/>
  <c r="G41" i="8"/>
  <c r="E41" i="8"/>
  <c r="F6" i="11"/>
  <c r="E9" i="12"/>
  <c r="G9" i="12"/>
  <c r="H9" i="12"/>
  <c r="I9" i="12"/>
  <c r="F9" i="12"/>
  <c r="C9" i="12"/>
  <c r="H64" i="13"/>
  <c r="F64" i="13"/>
  <c r="G64" i="13"/>
  <c r="E64" i="13"/>
  <c r="I64" i="13"/>
  <c r="C64" i="13"/>
  <c r="F28" i="5"/>
  <c r="C5" i="13"/>
  <c r="H5" i="13"/>
  <c r="I5" i="13"/>
  <c r="F5" i="13"/>
  <c r="E5" i="13"/>
  <c r="G5" i="13"/>
  <c r="F41" i="11"/>
  <c r="F7" i="11"/>
  <c r="H50" i="12"/>
  <c r="I50" i="12"/>
  <c r="F50" i="12"/>
  <c r="C50" i="12"/>
  <c r="E50" i="12"/>
  <c r="G50" i="12"/>
  <c r="I40" i="8"/>
  <c r="G40" i="8"/>
  <c r="C40" i="8"/>
  <c r="E40" i="8"/>
  <c r="F40" i="8"/>
  <c r="H40" i="8"/>
  <c r="F51" i="5"/>
  <c r="E6" i="12"/>
  <c r="I6" i="12"/>
  <c r="H6" i="12"/>
  <c r="F6" i="12"/>
  <c r="C6" i="12"/>
  <c r="G6" i="12"/>
  <c r="F52" i="11"/>
  <c r="I53" i="5"/>
  <c r="G53" i="5"/>
  <c r="C53" i="5"/>
  <c r="H53" i="5"/>
  <c r="E53" i="5"/>
  <c r="F53" i="5"/>
  <c r="F60" i="11"/>
  <c r="C16" i="13"/>
  <c r="E16" i="13"/>
  <c r="F16" i="13"/>
  <c r="I16" i="13"/>
  <c r="H16" i="13"/>
  <c r="G16" i="13"/>
  <c r="F48" i="8"/>
  <c r="F15" i="11"/>
  <c r="I32" i="12"/>
  <c r="F32" i="12"/>
  <c r="H32" i="12"/>
  <c r="G32" i="12"/>
  <c r="C32" i="12"/>
  <c r="E32" i="12"/>
  <c r="F4" i="8"/>
  <c r="C17" i="12"/>
  <c r="I17" i="12"/>
  <c r="H17" i="12"/>
  <c r="F17" i="12"/>
  <c r="E17" i="12"/>
  <c r="G17" i="12"/>
  <c r="C48" i="13"/>
  <c r="I48" i="13"/>
  <c r="H48" i="13"/>
  <c r="G48" i="13"/>
  <c r="F48" i="13"/>
  <c r="E48" i="13"/>
  <c r="F5" i="8"/>
  <c r="F52" i="5"/>
  <c r="G28" i="13"/>
  <c r="I28" i="13"/>
  <c r="C28" i="13"/>
  <c r="H28" i="13"/>
  <c r="F28" i="13"/>
  <c r="E28" i="13"/>
  <c r="C21" i="5"/>
  <c r="I21" i="5"/>
  <c r="G21" i="5"/>
  <c r="F21" i="5"/>
  <c r="E21" i="5"/>
  <c r="H21" i="5"/>
  <c r="H15" i="12"/>
  <c r="F15" i="12"/>
  <c r="I15" i="12"/>
  <c r="G15" i="12"/>
  <c r="C15" i="12"/>
  <c r="E15" i="12"/>
  <c r="C31" i="13"/>
  <c r="F31" i="13"/>
  <c r="H31" i="13"/>
  <c r="E31" i="13"/>
  <c r="I31" i="13"/>
  <c r="G31" i="13"/>
  <c r="F59" i="8"/>
  <c r="G64" i="5"/>
  <c r="F64" i="5"/>
  <c r="E64" i="5"/>
  <c r="C64" i="5"/>
  <c r="I64" i="5"/>
  <c r="H64" i="5"/>
  <c r="H26" i="12"/>
  <c r="G26" i="12"/>
  <c r="E26" i="12"/>
  <c r="I26" i="12"/>
  <c r="F26" i="12"/>
  <c r="C26" i="12"/>
  <c r="F65" i="13"/>
  <c r="C65" i="13"/>
  <c r="H65" i="13"/>
  <c r="E65" i="13"/>
  <c r="G65" i="13"/>
  <c r="I65" i="13"/>
  <c r="G20" i="5"/>
  <c r="H20" i="5"/>
  <c r="E20" i="5"/>
  <c r="C20" i="5"/>
  <c r="F20" i="5"/>
  <c r="I20" i="5"/>
  <c r="C20" i="12"/>
  <c r="I20" i="12"/>
  <c r="E20" i="12"/>
  <c r="H20" i="12"/>
  <c r="F20" i="12"/>
  <c r="G20" i="12"/>
  <c r="E49" i="13"/>
  <c r="H49" i="13"/>
  <c r="I49" i="13"/>
  <c r="F49" i="13"/>
  <c r="G49" i="13"/>
  <c r="C49" i="13"/>
  <c r="F49" i="5"/>
  <c r="G53" i="11"/>
  <c r="H53" i="11"/>
  <c r="F53" i="11"/>
  <c r="E53" i="11"/>
  <c r="C53" i="11"/>
  <c r="I53" i="11"/>
  <c r="C37" i="13"/>
  <c r="H37" i="13"/>
  <c r="I37" i="13"/>
  <c r="E37" i="13"/>
  <c r="F37" i="13"/>
  <c r="G37" i="13"/>
  <c r="F62" i="8"/>
  <c r="F70" i="12"/>
  <c r="E18" i="11"/>
  <c r="H18" i="11"/>
  <c r="G18" i="11"/>
  <c r="F18" i="11"/>
  <c r="I18" i="11"/>
  <c r="C18" i="11"/>
  <c r="F72" i="11"/>
  <c r="F71" i="12"/>
  <c r="E75" i="5"/>
  <c r="I75" i="5"/>
  <c r="F75" i="5"/>
  <c r="G75" i="5"/>
  <c r="C75" i="5"/>
  <c r="H75" i="5"/>
  <c r="G75" i="13"/>
  <c r="E75" i="13"/>
  <c r="H75" i="13"/>
  <c r="C75" i="13"/>
  <c r="I75" i="13"/>
  <c r="F75" i="13"/>
  <c r="F70" i="11"/>
  <c r="F72" i="12"/>
  <c r="F71" i="13"/>
  <c r="F76" i="11"/>
  <c r="H76" i="11"/>
  <c r="G76" i="11"/>
  <c r="E76" i="11"/>
  <c r="C76" i="11"/>
  <c r="I76" i="11"/>
  <c r="F74" i="11"/>
  <c r="F72" i="8"/>
  <c r="E50" i="2"/>
  <c r="V1" i="12"/>
  <c r="AD1" i="5"/>
  <c r="R1" i="13"/>
  <c r="R1" i="8"/>
  <c r="I50" i="2"/>
  <c r="O28" i="2"/>
  <c r="H61" i="2"/>
  <c r="L15" i="2" s="1"/>
  <c r="H2" i="4" s="1"/>
  <c r="E2" i="4"/>
  <c r="O38" i="2"/>
  <c r="F38" i="2"/>
  <c r="O27" i="2"/>
  <c r="R39" i="2"/>
  <c r="R28" i="2"/>
  <c r="I39" i="2"/>
  <c r="G28" i="2"/>
  <c r="F28" i="2"/>
  <c r="Q39" i="2"/>
  <c r="Z1" i="13"/>
  <c r="V1" i="11"/>
  <c r="V1" i="5"/>
  <c r="Z1" i="5"/>
  <c r="P28" i="2"/>
  <c r="E61" i="2"/>
  <c r="M45" i="12"/>
  <c r="M67" i="11"/>
  <c r="R1" i="11"/>
  <c r="M56" i="13"/>
  <c r="M12" i="13"/>
  <c r="M12" i="12"/>
  <c r="N9" i="2"/>
  <c r="J3" i="11"/>
  <c r="J3" i="8"/>
  <c r="M1" i="8"/>
  <c r="M34" i="8"/>
  <c r="M67" i="13"/>
  <c r="Y23" i="8"/>
  <c r="Z1" i="8" s="1"/>
  <c r="M1" i="13"/>
  <c r="M1" i="12"/>
  <c r="M45" i="11"/>
  <c r="N1" i="11" s="1"/>
  <c r="U45" i="8"/>
  <c r="U1" i="8"/>
  <c r="J2" i="11"/>
  <c r="N5" i="2" l="1"/>
  <c r="Q27" i="2" s="1"/>
  <c r="AD1" i="11"/>
  <c r="R1" i="12"/>
  <c r="V1" i="8"/>
  <c r="N1" i="13"/>
  <c r="L21" i="2"/>
  <c r="C2" i="4"/>
  <c r="J3" i="5"/>
  <c r="R1" i="5"/>
  <c r="N1" i="8"/>
  <c r="L17" i="2"/>
  <c r="I2" i="4" s="1"/>
  <c r="L13" i="2"/>
  <c r="N1" i="5"/>
  <c r="Q38" i="2"/>
  <c r="H27" i="2"/>
  <c r="D2" i="4"/>
  <c r="M2" i="4" s="1"/>
  <c r="H38" i="2"/>
  <c r="F27" i="2"/>
  <c r="F49" i="2"/>
  <c r="F60" i="2"/>
  <c r="AD1" i="12"/>
  <c r="Z1" i="12"/>
  <c r="M15" i="2"/>
  <c r="M21" i="2"/>
  <c r="G2" i="4"/>
  <c r="L2" i="4" s="1"/>
  <c r="M13" i="2"/>
  <c r="M17" i="2"/>
  <c r="M19" i="2"/>
  <c r="L19" i="2"/>
  <c r="J2" i="4" s="1"/>
  <c r="I23" i="13"/>
  <c r="I34" i="13"/>
  <c r="J4" i="11"/>
  <c r="I23" i="12"/>
  <c r="I45" i="13"/>
  <c r="I34" i="12"/>
  <c r="I1" i="13"/>
  <c r="I56" i="13"/>
  <c r="I56" i="12"/>
  <c r="I12" i="13"/>
  <c r="N1" i="12"/>
  <c r="P38" i="2"/>
  <c r="F2" i="4"/>
  <c r="P27" i="2"/>
  <c r="G60" i="2"/>
  <c r="G27" i="2"/>
  <c r="G38" i="2"/>
  <c r="E38" i="2" s="1"/>
  <c r="G49" i="2"/>
  <c r="N2" i="4"/>
  <c r="I12" i="12"/>
  <c r="I1" i="12"/>
  <c r="I45" i="12"/>
  <c r="J2" i="8"/>
  <c r="J2" i="12"/>
  <c r="J2" i="13"/>
  <c r="J2" i="5"/>
  <c r="J4" i="13" l="1"/>
  <c r="E72" i="13" s="1"/>
  <c r="E60" i="2"/>
  <c r="H60" i="2"/>
  <c r="H49" i="2"/>
  <c r="J4" i="12"/>
  <c r="E70" i="12" s="1"/>
  <c r="J4" i="8"/>
  <c r="E71" i="8" s="1"/>
  <c r="N27" i="2"/>
  <c r="E49" i="2"/>
  <c r="E27" i="2"/>
  <c r="N38" i="2"/>
  <c r="J4" i="5"/>
  <c r="O2" i="4"/>
  <c r="E71" i="12"/>
  <c r="J1" i="12"/>
  <c r="R19" i="2" s="1"/>
  <c r="E19" i="8"/>
  <c r="E51" i="8"/>
  <c r="E62" i="8"/>
  <c r="J1" i="13"/>
  <c r="R21" i="2" s="1"/>
  <c r="E29" i="11"/>
  <c r="E16" i="11"/>
  <c r="E4" i="11"/>
  <c r="E28" i="11"/>
  <c r="E71" i="11"/>
  <c r="E59" i="11"/>
  <c r="E7" i="11"/>
  <c r="E60" i="11"/>
  <c r="E15" i="11"/>
  <c r="E49" i="11"/>
  <c r="E30" i="11"/>
  <c r="E50" i="11"/>
  <c r="E26" i="11"/>
  <c r="E72" i="11"/>
  <c r="E31" i="11"/>
  <c r="E75" i="11"/>
  <c r="E38" i="11"/>
  <c r="E6" i="11"/>
  <c r="E52" i="11"/>
  <c r="E70" i="11"/>
  <c r="E74" i="11"/>
  <c r="E17" i="11"/>
  <c r="E51" i="11"/>
  <c r="E27" i="11"/>
  <c r="E8" i="11"/>
  <c r="E37" i="11"/>
  <c r="E39" i="11"/>
  <c r="E40" i="11"/>
  <c r="E5" i="11"/>
  <c r="E61" i="11"/>
  <c r="E41" i="11"/>
  <c r="E73" i="11"/>
  <c r="E48" i="11"/>
  <c r="E71" i="13"/>
  <c r="E74" i="8" l="1"/>
  <c r="G74" i="8" s="1"/>
  <c r="E72" i="8"/>
  <c r="H72" i="8" s="1"/>
  <c r="E70" i="13"/>
  <c r="G70" i="13" s="1"/>
  <c r="E75" i="8"/>
  <c r="E60" i="8"/>
  <c r="G60" i="8" s="1"/>
  <c r="E5" i="8"/>
  <c r="H5" i="8" s="1"/>
  <c r="E39" i="8"/>
  <c r="H39" i="8" s="1"/>
  <c r="E50" i="8"/>
  <c r="E38" i="8"/>
  <c r="E17" i="8"/>
  <c r="G17" i="8" s="1"/>
  <c r="E48" i="8"/>
  <c r="G48" i="8" s="1"/>
  <c r="E16" i="8"/>
  <c r="E29" i="8"/>
  <c r="H29" i="8" s="1"/>
  <c r="E6" i="8"/>
  <c r="H6" i="8" s="1"/>
  <c r="E70" i="8"/>
  <c r="G70" i="8" s="1"/>
  <c r="E28" i="8"/>
  <c r="E61" i="8"/>
  <c r="H61" i="8" s="1"/>
  <c r="E37" i="8"/>
  <c r="E18" i="8"/>
  <c r="H18" i="8" s="1"/>
  <c r="E59" i="8"/>
  <c r="E49" i="8"/>
  <c r="G49" i="8" s="1"/>
  <c r="E15" i="8"/>
  <c r="G15" i="8" s="1"/>
  <c r="E72" i="12"/>
  <c r="G72" i="12" s="1"/>
  <c r="E73" i="8"/>
  <c r="E7" i="8"/>
  <c r="G7" i="8" s="1"/>
  <c r="E27" i="8"/>
  <c r="G27" i="8" s="1"/>
  <c r="E4" i="8"/>
  <c r="H4" i="8" s="1"/>
  <c r="E26" i="8"/>
  <c r="H70" i="12"/>
  <c r="G70" i="12"/>
  <c r="H71" i="12"/>
  <c r="G71" i="12"/>
  <c r="E60" i="5"/>
  <c r="E4" i="5"/>
  <c r="E31" i="5"/>
  <c r="E51" i="5"/>
  <c r="E38" i="5"/>
  <c r="E17" i="5"/>
  <c r="E40" i="5"/>
  <c r="E10" i="5"/>
  <c r="E74" i="5"/>
  <c r="E15" i="5"/>
  <c r="E72" i="5"/>
  <c r="E70" i="5"/>
  <c r="E26" i="5"/>
  <c r="E39" i="5"/>
  <c r="E8" i="5"/>
  <c r="E49" i="5"/>
  <c r="E6" i="5"/>
  <c r="E5" i="5"/>
  <c r="E59" i="5"/>
  <c r="E50" i="5"/>
  <c r="E52" i="5"/>
  <c r="E16" i="5"/>
  <c r="E71" i="5"/>
  <c r="E27" i="5"/>
  <c r="E61" i="5"/>
  <c r="E28" i="5"/>
  <c r="E9" i="5"/>
  <c r="E73" i="5"/>
  <c r="E7" i="5"/>
  <c r="E30" i="5"/>
  <c r="E48" i="5"/>
  <c r="E18" i="5"/>
  <c r="E29" i="5"/>
  <c r="E37" i="5"/>
  <c r="H48" i="11"/>
  <c r="G48" i="11"/>
  <c r="H5" i="11"/>
  <c r="G5" i="11"/>
  <c r="G8" i="11"/>
  <c r="H8" i="11"/>
  <c r="G74" i="11"/>
  <c r="H74" i="11"/>
  <c r="G38" i="11"/>
  <c r="H38" i="11"/>
  <c r="H26" i="11"/>
  <c r="G26" i="11"/>
  <c r="G15" i="11"/>
  <c r="H15" i="11"/>
  <c r="G71" i="11"/>
  <c r="H71" i="11"/>
  <c r="G29" i="11"/>
  <c r="H29" i="11"/>
  <c r="H72" i="13"/>
  <c r="G72" i="13"/>
  <c r="G73" i="11"/>
  <c r="H73" i="11"/>
  <c r="G40" i="11"/>
  <c r="H40" i="11"/>
  <c r="H27" i="11"/>
  <c r="G27" i="11"/>
  <c r="H70" i="11"/>
  <c r="G70" i="11"/>
  <c r="H75" i="11"/>
  <c r="G75" i="11"/>
  <c r="G50" i="11"/>
  <c r="H50" i="11"/>
  <c r="H60" i="11"/>
  <c r="G60" i="11"/>
  <c r="H28" i="11"/>
  <c r="G28" i="11"/>
  <c r="G39" i="8"/>
  <c r="G59" i="8"/>
  <c r="H59" i="8"/>
  <c r="G75" i="8"/>
  <c r="H75" i="8"/>
  <c r="G29" i="8"/>
  <c r="H17" i="8"/>
  <c r="H15" i="8"/>
  <c r="G62" i="8"/>
  <c r="H62" i="8"/>
  <c r="G73" i="8"/>
  <c r="H73" i="8"/>
  <c r="H27" i="8"/>
  <c r="H26" i="8"/>
  <c r="G26" i="8"/>
  <c r="G71" i="8"/>
  <c r="H71" i="8"/>
  <c r="G72" i="8"/>
  <c r="H60" i="8"/>
  <c r="G18" i="8"/>
  <c r="H50" i="8"/>
  <c r="G50" i="8"/>
  <c r="H28" i="8"/>
  <c r="G28" i="8"/>
  <c r="H38" i="8"/>
  <c r="G38" i="8"/>
  <c r="G19" i="8"/>
  <c r="H19" i="8"/>
  <c r="H37" i="8"/>
  <c r="G37" i="8"/>
  <c r="G71" i="13"/>
  <c r="H71" i="13"/>
  <c r="H41" i="11"/>
  <c r="G41" i="11"/>
  <c r="H39" i="11"/>
  <c r="G39" i="11"/>
  <c r="G51" i="11"/>
  <c r="H51" i="11"/>
  <c r="G52" i="11"/>
  <c r="H52" i="11"/>
  <c r="H31" i="11"/>
  <c r="G31" i="11"/>
  <c r="H30" i="11"/>
  <c r="G30" i="11"/>
  <c r="H7" i="11"/>
  <c r="G7" i="11"/>
  <c r="H4" i="11"/>
  <c r="G4" i="11"/>
  <c r="H61" i="11"/>
  <c r="G61" i="11"/>
  <c r="H37" i="11"/>
  <c r="G37" i="11"/>
  <c r="G17" i="11"/>
  <c r="H17" i="11"/>
  <c r="H6" i="11"/>
  <c r="G6" i="11"/>
  <c r="H72" i="11"/>
  <c r="G72" i="11"/>
  <c r="H49" i="11"/>
  <c r="G49" i="11"/>
  <c r="G59" i="11"/>
  <c r="H59" i="11"/>
  <c r="G16" i="11"/>
  <c r="H16" i="11"/>
  <c r="H48" i="8"/>
  <c r="G16" i="8"/>
  <c r="H16" i="8"/>
  <c r="H74" i="8"/>
  <c r="G51" i="8"/>
  <c r="H51" i="8"/>
  <c r="H49" i="8"/>
  <c r="G61" i="8"/>
  <c r="G6" i="8"/>
  <c r="H7" i="8" l="1"/>
  <c r="G5" i="8"/>
  <c r="H72" i="12"/>
  <c r="H70" i="13"/>
  <c r="G4" i="8"/>
  <c r="H70" i="8"/>
  <c r="C6" i="8"/>
  <c r="I6" i="8" s="1"/>
  <c r="C28" i="8"/>
  <c r="I28" i="8" s="1"/>
  <c r="C18" i="8"/>
  <c r="I18" i="8" s="1"/>
  <c r="C72" i="8"/>
  <c r="I72" i="8" s="1"/>
  <c r="C48" i="11"/>
  <c r="I48" i="11" s="1"/>
  <c r="C71" i="12"/>
  <c r="I71" i="12" s="1"/>
  <c r="C72" i="12"/>
  <c r="I72" i="12" s="1"/>
  <c r="G29" i="5"/>
  <c r="H29" i="5"/>
  <c r="G7" i="5"/>
  <c r="H7" i="5"/>
  <c r="G61" i="5"/>
  <c r="H61" i="5"/>
  <c r="G52" i="5"/>
  <c r="H52" i="5"/>
  <c r="G6" i="5"/>
  <c r="H6" i="5"/>
  <c r="G26" i="5"/>
  <c r="H26" i="5"/>
  <c r="G74" i="5"/>
  <c r="H74" i="5"/>
  <c r="G38" i="5"/>
  <c r="H38" i="5"/>
  <c r="G60" i="5"/>
  <c r="H60" i="5"/>
  <c r="G37" i="5"/>
  <c r="H37" i="5"/>
  <c r="H28" i="5"/>
  <c r="G28" i="5"/>
  <c r="G5" i="5"/>
  <c r="H5" i="5"/>
  <c r="G39" i="5"/>
  <c r="H39" i="5"/>
  <c r="H15" i="5"/>
  <c r="G15" i="5"/>
  <c r="C15" i="5" s="1"/>
  <c r="I15" i="5" s="1"/>
  <c r="H17" i="5"/>
  <c r="G17" i="5"/>
  <c r="H18" i="5"/>
  <c r="G18" i="5"/>
  <c r="C18" i="5" s="1"/>
  <c r="I18" i="5" s="1"/>
  <c r="H73" i="5"/>
  <c r="G73" i="5"/>
  <c r="H27" i="5"/>
  <c r="G27" i="5"/>
  <c r="C27" i="5" s="1"/>
  <c r="I27" i="5" s="1"/>
  <c r="G50" i="5"/>
  <c r="H50" i="5"/>
  <c r="H49" i="5"/>
  <c r="G49" i="5"/>
  <c r="C49" i="5" s="1"/>
  <c r="I49" i="5" s="1"/>
  <c r="H70" i="5"/>
  <c r="G70" i="5"/>
  <c r="G10" i="5"/>
  <c r="H10" i="5"/>
  <c r="G51" i="5"/>
  <c r="H51" i="5"/>
  <c r="C70" i="12"/>
  <c r="I70" i="12" s="1"/>
  <c r="I67" i="12" s="1"/>
  <c r="H30" i="5"/>
  <c r="G30" i="5"/>
  <c r="G16" i="5"/>
  <c r="H16" i="5"/>
  <c r="G4" i="5"/>
  <c r="H4" i="5"/>
  <c r="C5" i="8"/>
  <c r="I5" i="8" s="1"/>
  <c r="H48" i="5"/>
  <c r="G48" i="5"/>
  <c r="C48" i="5" s="1"/>
  <c r="I48" i="5" s="1"/>
  <c r="H9" i="5"/>
  <c r="G9" i="5"/>
  <c r="H71" i="5"/>
  <c r="G71" i="5"/>
  <c r="C71" i="5" s="1"/>
  <c r="I71" i="5" s="1"/>
  <c r="H59" i="5"/>
  <c r="G59" i="5"/>
  <c r="H8" i="5"/>
  <c r="G8" i="5"/>
  <c r="C8" i="5" s="1"/>
  <c r="I8" i="5" s="1"/>
  <c r="G72" i="5"/>
  <c r="H72" i="5"/>
  <c r="H40" i="5"/>
  <c r="G40" i="5"/>
  <c r="C40" i="5" s="1"/>
  <c r="I40" i="5" s="1"/>
  <c r="H31" i="5"/>
  <c r="G31" i="5"/>
  <c r="C73" i="11"/>
  <c r="I73" i="11" s="1"/>
  <c r="C15" i="8"/>
  <c r="I15" i="8" s="1"/>
  <c r="C39" i="8"/>
  <c r="I39" i="8" s="1"/>
  <c r="C72" i="13"/>
  <c r="I72" i="13" s="1"/>
  <c r="C61" i="8"/>
  <c r="I61" i="8" s="1"/>
  <c r="C51" i="8"/>
  <c r="I51" i="8" s="1"/>
  <c r="C16" i="8"/>
  <c r="I16" i="8" s="1"/>
  <c r="C49" i="11"/>
  <c r="I49" i="11" s="1"/>
  <c r="C6" i="11"/>
  <c r="I6" i="11" s="1"/>
  <c r="C37" i="11"/>
  <c r="I37" i="11" s="1"/>
  <c r="C4" i="11"/>
  <c r="I4" i="11" s="1"/>
  <c r="C30" i="11"/>
  <c r="I30" i="11" s="1"/>
  <c r="C39" i="11"/>
  <c r="I39" i="11" s="1"/>
  <c r="C4" i="8"/>
  <c r="I4" i="8" s="1"/>
  <c r="C28" i="11"/>
  <c r="I28" i="11" s="1"/>
  <c r="C70" i="11"/>
  <c r="I70" i="11" s="1"/>
  <c r="C72" i="11"/>
  <c r="I72" i="11" s="1"/>
  <c r="C61" i="11"/>
  <c r="I61" i="11" s="1"/>
  <c r="C7" i="11"/>
  <c r="I7" i="11" s="1"/>
  <c r="C31" i="11"/>
  <c r="I31" i="11" s="1"/>
  <c r="C41" i="11"/>
  <c r="I41" i="11" s="1"/>
  <c r="C26" i="8"/>
  <c r="I26" i="8" s="1"/>
  <c r="C27" i="8"/>
  <c r="I27" i="8" s="1"/>
  <c r="C71" i="11"/>
  <c r="I71" i="11" s="1"/>
  <c r="C74" i="11"/>
  <c r="I74" i="11" s="1"/>
  <c r="C16" i="11"/>
  <c r="I16" i="11" s="1"/>
  <c r="C71" i="8"/>
  <c r="I71" i="8" s="1"/>
  <c r="C7" i="8"/>
  <c r="I7" i="8" s="1"/>
  <c r="C62" i="8"/>
  <c r="I62" i="8" s="1"/>
  <c r="C29" i="8"/>
  <c r="I29" i="8" s="1"/>
  <c r="C59" i="8"/>
  <c r="I59" i="8" s="1"/>
  <c r="C19" i="8"/>
  <c r="I19" i="8" s="1"/>
  <c r="C50" i="11"/>
  <c r="I50" i="11" s="1"/>
  <c r="C40" i="11"/>
  <c r="I40" i="11" s="1"/>
  <c r="C29" i="11"/>
  <c r="I29" i="11" s="1"/>
  <c r="C15" i="11"/>
  <c r="I15" i="11" s="1"/>
  <c r="C38" i="11"/>
  <c r="I38" i="11" s="1"/>
  <c r="C8" i="11"/>
  <c r="I8" i="11" s="1"/>
  <c r="C52" i="11"/>
  <c r="I52" i="11" s="1"/>
  <c r="C71" i="13"/>
  <c r="I71" i="13" s="1"/>
  <c r="C49" i="8"/>
  <c r="I49" i="8" s="1"/>
  <c r="C74" i="8"/>
  <c r="I74" i="8" s="1"/>
  <c r="C48" i="8"/>
  <c r="I48" i="8" s="1"/>
  <c r="C59" i="11"/>
  <c r="I59" i="11" s="1"/>
  <c r="C17" i="11"/>
  <c r="I17" i="11" s="1"/>
  <c r="C70" i="13"/>
  <c r="I70" i="13" s="1"/>
  <c r="I67" i="13" s="1"/>
  <c r="C51" i="11"/>
  <c r="I51" i="11" s="1"/>
  <c r="C37" i="8"/>
  <c r="I37" i="8" s="1"/>
  <c r="C38" i="8"/>
  <c r="I38" i="8" s="1"/>
  <c r="C50" i="8"/>
  <c r="I50" i="8" s="1"/>
  <c r="C60" i="8"/>
  <c r="I60" i="8" s="1"/>
  <c r="C73" i="8"/>
  <c r="I73" i="8" s="1"/>
  <c r="C17" i="8"/>
  <c r="I17" i="8" s="1"/>
  <c r="C75" i="8"/>
  <c r="I75" i="8" s="1"/>
  <c r="C70" i="8"/>
  <c r="I70" i="8" s="1"/>
  <c r="C60" i="11"/>
  <c r="I60" i="11" s="1"/>
  <c r="C75" i="11"/>
  <c r="I75" i="11" s="1"/>
  <c r="C27" i="11"/>
  <c r="I27" i="11" s="1"/>
  <c r="C26" i="11"/>
  <c r="I26" i="11" s="1"/>
  <c r="C5" i="11"/>
  <c r="I5" i="11" s="1"/>
  <c r="I67" i="11" l="1"/>
  <c r="C72" i="5"/>
  <c r="I72" i="5" s="1"/>
  <c r="C51" i="5"/>
  <c r="I51" i="5" s="1"/>
  <c r="C50" i="5"/>
  <c r="I50" i="5" s="1"/>
  <c r="C39" i="5"/>
  <c r="I39" i="5" s="1"/>
  <c r="C60" i="5"/>
  <c r="I60" i="5" s="1"/>
  <c r="C74" i="5"/>
  <c r="I74" i="5" s="1"/>
  <c r="C6" i="5"/>
  <c r="I6" i="5" s="1"/>
  <c r="C61" i="5"/>
  <c r="I61" i="5" s="1"/>
  <c r="I1" i="8"/>
  <c r="C29" i="5"/>
  <c r="I29" i="5" s="1"/>
  <c r="I23" i="8"/>
  <c r="C4" i="5"/>
  <c r="I4" i="5" s="1"/>
  <c r="I1" i="11"/>
  <c r="C10" i="5"/>
  <c r="I10" i="5" s="1"/>
  <c r="C5" i="5"/>
  <c r="I5" i="5" s="1"/>
  <c r="C37" i="5"/>
  <c r="I37" i="5" s="1"/>
  <c r="C38" i="5"/>
  <c r="I38" i="5" s="1"/>
  <c r="C26" i="5"/>
  <c r="I26" i="5" s="1"/>
  <c r="C52" i="5"/>
  <c r="I52" i="5" s="1"/>
  <c r="C7" i="5"/>
  <c r="I7" i="5" s="1"/>
  <c r="I34" i="11"/>
  <c r="C31" i="5"/>
  <c r="I31" i="5" s="1"/>
  <c r="C59" i="5"/>
  <c r="I59" i="5" s="1"/>
  <c r="C9" i="5"/>
  <c r="I9" i="5" s="1"/>
  <c r="C16" i="5"/>
  <c r="I16" i="5" s="1"/>
  <c r="C70" i="5"/>
  <c r="I70" i="5" s="1"/>
  <c r="C73" i="5"/>
  <c r="I73" i="5" s="1"/>
  <c r="C17" i="5"/>
  <c r="I17" i="5" s="1"/>
  <c r="C28" i="5"/>
  <c r="I28" i="5" s="1"/>
  <c r="C30" i="5"/>
  <c r="I30" i="5" s="1"/>
  <c r="I23" i="11"/>
  <c r="I45" i="11"/>
  <c r="I12" i="11"/>
  <c r="I12" i="8"/>
  <c r="I34" i="8"/>
  <c r="I45" i="8"/>
  <c r="I56" i="8"/>
  <c r="I56" i="11"/>
  <c r="I67" i="8"/>
  <c r="I67" i="5" l="1"/>
  <c r="I45" i="5"/>
  <c r="I56" i="5"/>
  <c r="I1" i="5"/>
  <c r="I12" i="5"/>
  <c r="J1" i="8"/>
  <c r="R15" i="2" s="1"/>
  <c r="I34" i="5"/>
  <c r="J1" i="11"/>
  <c r="R17" i="2" s="1"/>
  <c r="I23" i="5"/>
  <c r="J1" i="5" l="1"/>
  <c r="R13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Dave</author>
  </authors>
  <commentList>
    <comment ref="L4" authorId="0" shapeId="0" xr:uid="{00000000-0006-0000-0100-000001000000}">
      <text>
        <r>
          <rPr>
            <sz val="9"/>
            <color indexed="81"/>
            <rFont val="Tahoma"/>
            <family val="2"/>
          </rPr>
          <t>1 slice = 26 g</t>
        </r>
      </text>
    </comment>
    <comment ref="P4" authorId="0" shapeId="0" xr:uid="{00000000-0006-0000-0100-000002000000}">
      <text>
        <r>
          <rPr>
            <sz val="9"/>
            <color indexed="81"/>
            <rFont val="Tahoma"/>
            <family val="2"/>
          </rPr>
          <t>1 slice = 26 g</t>
        </r>
      </text>
    </comment>
    <comment ref="T4" authorId="0" shapeId="0" xr:uid="{00000000-0006-0000-0100-000003000000}">
      <text>
        <r>
          <rPr>
            <sz val="9"/>
            <color indexed="81"/>
            <rFont val="Tahoma"/>
            <family val="2"/>
          </rPr>
          <t>1 slice = 26 g</t>
        </r>
      </text>
    </comment>
    <comment ref="X4" authorId="0" shapeId="0" xr:uid="{00000000-0006-0000-0100-000004000000}">
      <text>
        <r>
          <rPr>
            <sz val="9"/>
            <color indexed="81"/>
            <rFont val="Tahoma"/>
            <family val="2"/>
          </rPr>
          <t>1 slice = 26 g</t>
        </r>
      </text>
    </comment>
    <comment ref="AB4" authorId="0" shapeId="0" xr:uid="{00000000-0006-0000-0100-000005000000}">
      <text>
        <r>
          <rPr>
            <sz val="9"/>
            <color indexed="81"/>
            <rFont val="Tahoma"/>
            <family val="2"/>
          </rPr>
          <t>1 slice = 26 g</t>
        </r>
      </text>
    </comment>
    <comment ref="L5" authorId="0" shapeId="0" xr:uid="{00000000-0006-0000-0100-000006000000}">
      <text>
        <r>
          <rPr>
            <sz val="9"/>
            <color indexed="81"/>
            <rFont val="Tahoma"/>
            <family val="2"/>
          </rPr>
          <t>1/2 cup = 122 g</t>
        </r>
      </text>
    </comment>
    <comment ref="P5" authorId="0" shapeId="0" xr:uid="{00000000-0006-0000-0100-000007000000}">
      <text>
        <r>
          <rPr>
            <sz val="9"/>
            <color indexed="81"/>
            <rFont val="Tahoma"/>
            <family val="2"/>
          </rPr>
          <t>1/2 cup = 122 g</t>
        </r>
      </text>
    </comment>
    <comment ref="T5" authorId="0" shapeId="0" xr:uid="{00000000-0006-0000-0100-000008000000}">
      <text>
        <r>
          <rPr>
            <sz val="9"/>
            <color indexed="81"/>
            <rFont val="Tahoma"/>
            <family val="2"/>
          </rPr>
          <t>1/2 cup = 122 g</t>
        </r>
      </text>
    </comment>
    <comment ref="X5" authorId="0" shapeId="0" xr:uid="{00000000-0006-0000-0100-000009000000}">
      <text>
        <r>
          <rPr>
            <sz val="9"/>
            <color indexed="81"/>
            <rFont val="Tahoma"/>
            <family val="2"/>
          </rPr>
          <t>1/2 cup = 122 g</t>
        </r>
      </text>
    </comment>
    <comment ref="AB5" authorId="0" shapeId="0" xr:uid="{00000000-0006-0000-0100-00000A000000}">
      <text>
        <r>
          <rPr>
            <sz val="9"/>
            <color indexed="81"/>
            <rFont val="Tahoma"/>
            <family val="2"/>
          </rPr>
          <t>1/2 cup = 122 g</t>
        </r>
      </text>
    </comment>
    <comment ref="L6" authorId="0" shapeId="0" xr:uid="{00000000-0006-0000-0100-00000B000000}">
      <text>
        <r>
          <rPr>
            <sz val="9"/>
            <color indexed="81"/>
            <rFont val="Tahoma"/>
            <family val="2"/>
          </rPr>
          <t>1 Large = 56 g</t>
        </r>
      </text>
    </comment>
    <comment ref="P6" authorId="0" shapeId="0" xr:uid="{00000000-0006-0000-0100-00000C000000}">
      <text>
        <r>
          <rPr>
            <sz val="9"/>
            <color indexed="81"/>
            <rFont val="Tahoma"/>
            <family val="2"/>
          </rPr>
          <t>1 Large = 56 g</t>
        </r>
      </text>
    </comment>
    <comment ref="T6" authorId="0" shapeId="0" xr:uid="{00000000-0006-0000-0100-00000D000000}">
      <text>
        <r>
          <rPr>
            <sz val="9"/>
            <color indexed="81"/>
            <rFont val="Tahoma"/>
            <family val="2"/>
          </rPr>
          <t>1 Large = 56 g</t>
        </r>
      </text>
    </comment>
    <comment ref="X6" authorId="0" shapeId="0" xr:uid="{00000000-0006-0000-0100-00000E000000}">
      <text>
        <r>
          <rPr>
            <sz val="9"/>
            <color indexed="81"/>
            <rFont val="Tahoma"/>
            <family val="2"/>
          </rPr>
          <t>1 Large = 56 g</t>
        </r>
      </text>
    </comment>
    <comment ref="AB6" authorId="0" shapeId="0" xr:uid="{00000000-0006-0000-0100-00000F000000}">
      <text>
        <r>
          <rPr>
            <sz val="9"/>
            <color indexed="81"/>
            <rFont val="Tahoma"/>
            <family val="2"/>
          </rPr>
          <t>1 Large = 56 g</t>
        </r>
      </text>
    </comment>
    <comment ref="L7" authorId="0" shapeId="0" xr:uid="{00000000-0006-0000-0100-000010000000}">
      <text>
        <r>
          <rPr>
            <sz val="9"/>
            <color indexed="81"/>
            <rFont val="Tahoma"/>
            <family val="2"/>
          </rPr>
          <t>.5 cup,  (1 NLEA serving) = 40 g</t>
        </r>
      </text>
    </comment>
    <comment ref="P7" authorId="0" shapeId="0" xr:uid="{00000000-0006-0000-0100-000011000000}">
      <text>
        <r>
          <rPr>
            <sz val="9"/>
            <color indexed="81"/>
            <rFont val="Tahoma"/>
            <family val="2"/>
          </rPr>
          <t>.5 cup,  (1 NLEA serving) = 40 g</t>
        </r>
      </text>
    </comment>
    <comment ref="T7" authorId="0" shapeId="0" xr:uid="{00000000-0006-0000-0100-000012000000}">
      <text>
        <r>
          <rPr>
            <sz val="9"/>
            <color indexed="81"/>
            <rFont val="Tahoma"/>
            <family val="2"/>
          </rPr>
          <t>.5 cup,  (1 NLEA serving) = 40 g</t>
        </r>
      </text>
    </comment>
    <comment ref="X7" authorId="0" shapeId="0" xr:uid="{00000000-0006-0000-0100-000013000000}">
      <text>
        <r>
          <rPr>
            <sz val="9"/>
            <color indexed="81"/>
            <rFont val="Tahoma"/>
            <family val="2"/>
          </rPr>
          <t>.5 cup,  (1 NLEA serving) = 40 g</t>
        </r>
      </text>
    </comment>
    <comment ref="AB7" authorId="0" shapeId="0" xr:uid="{00000000-0006-0000-0100-000014000000}">
      <text>
        <r>
          <rPr>
            <sz val="9"/>
            <color indexed="81"/>
            <rFont val="Tahoma"/>
            <family val="2"/>
          </rPr>
          <t>.5 cup,  (1 NLEA serving) = 40 g</t>
        </r>
      </text>
    </comment>
    <comment ref="L8" authorId="0" shapeId="0" xr:uid="{00000000-0006-0000-0100-000015000000}">
      <text>
        <r>
          <rPr>
            <sz val="9"/>
            <color indexed="81"/>
            <rFont val="Tahoma"/>
            <family val="2"/>
          </rPr>
          <t>1 cup,  halves = 152 g</t>
        </r>
      </text>
    </comment>
    <comment ref="P8" authorId="0" shapeId="0" xr:uid="{00000000-0006-0000-0100-000016000000}">
      <text>
        <r>
          <rPr>
            <sz val="9"/>
            <color indexed="81"/>
            <rFont val="Tahoma"/>
            <family val="2"/>
          </rPr>
          <t>1 cup,  halves = 152 g</t>
        </r>
      </text>
    </comment>
    <comment ref="T8" authorId="0" shapeId="0" xr:uid="{00000000-0006-0000-0100-000017000000}">
      <text>
        <r>
          <rPr>
            <sz val="9"/>
            <color indexed="81"/>
            <rFont val="Tahoma"/>
            <family val="2"/>
          </rPr>
          <t>1 cup,  halves = 152 g</t>
        </r>
      </text>
    </comment>
    <comment ref="X8" authorId="0" shapeId="0" xr:uid="{00000000-0006-0000-0100-000018000000}">
      <text>
        <r>
          <rPr>
            <sz val="9"/>
            <color indexed="81"/>
            <rFont val="Tahoma"/>
            <family val="2"/>
          </rPr>
          <t>1 cup,  halves = 152 g</t>
        </r>
      </text>
    </comment>
    <comment ref="AB8" authorId="0" shapeId="0" xr:uid="{00000000-0006-0000-0100-000019000000}">
      <text>
        <r>
          <rPr>
            <sz val="9"/>
            <color indexed="81"/>
            <rFont val="Tahoma"/>
            <family val="2"/>
          </rPr>
          <t>1 cup,  halves = 152 g</t>
        </r>
      </text>
    </comment>
    <comment ref="L9" authorId="0" shapeId="0" xr:uid="{00000000-0006-0000-0100-00001A000000}">
      <text>
        <r>
          <rPr>
            <sz val="9"/>
            <color indexed="81"/>
            <rFont val="Tahoma"/>
            <family val="2"/>
          </rPr>
          <t>1 cup, chunks = 165 g</t>
        </r>
      </text>
    </comment>
    <comment ref="P9" authorId="0" shapeId="0" xr:uid="{00000000-0006-0000-0100-00001B000000}">
      <text>
        <r>
          <rPr>
            <sz val="9"/>
            <color indexed="81"/>
            <rFont val="Tahoma"/>
            <family val="2"/>
          </rPr>
          <t>1 cup, chunks = 165 g</t>
        </r>
      </text>
    </comment>
    <comment ref="T9" authorId="0" shapeId="0" xr:uid="{00000000-0006-0000-0100-00001C000000}">
      <text>
        <r>
          <rPr>
            <sz val="9"/>
            <color indexed="81"/>
            <rFont val="Tahoma"/>
            <family val="2"/>
          </rPr>
          <t>1 cup = 237 g</t>
        </r>
      </text>
    </comment>
    <comment ref="X9" authorId="0" shapeId="0" xr:uid="{00000000-0006-0000-0100-00001D000000}">
      <text>
        <r>
          <rPr>
            <sz val="9"/>
            <color indexed="81"/>
            <rFont val="Tahoma"/>
            <family val="2"/>
          </rPr>
          <t>1 cup, chunks = 165 g</t>
        </r>
      </text>
    </comment>
    <comment ref="AB9" authorId="0" shapeId="0" xr:uid="{00000000-0006-0000-0100-00001E000000}">
      <text>
        <r>
          <rPr>
            <sz val="9"/>
            <color indexed="81"/>
            <rFont val="Tahoma"/>
            <family val="2"/>
          </rPr>
          <t>1 cup, chunks = 165 g</t>
        </r>
      </text>
    </comment>
    <comment ref="L10" authorId="0" shapeId="0" xr:uid="{00000000-0006-0000-0100-00001F000000}">
      <text>
        <r>
          <rPr>
            <sz val="9"/>
            <color indexed="81"/>
            <rFont val="Tahoma"/>
            <family val="2"/>
          </rPr>
          <t>1 cup = 237 g</t>
        </r>
      </text>
    </comment>
    <comment ref="P10" authorId="0" shapeId="0" xr:uid="{00000000-0006-0000-0100-000020000000}">
      <text>
        <r>
          <rPr>
            <sz val="9"/>
            <color indexed="81"/>
            <rFont val="Tahoma"/>
            <family val="2"/>
          </rPr>
          <t>1 cup = 237 g</t>
        </r>
      </text>
    </comment>
    <comment ref="X10" authorId="0" shapeId="0" xr:uid="{00000000-0006-0000-0100-000021000000}">
      <text>
        <r>
          <rPr>
            <sz val="9"/>
            <color indexed="81"/>
            <rFont val="Tahoma"/>
            <family val="2"/>
          </rPr>
          <t>1 cup = 237 g</t>
        </r>
      </text>
    </comment>
    <comment ref="AB10" authorId="0" shapeId="0" xr:uid="{00000000-0006-0000-0100-000022000000}">
      <text>
        <r>
          <rPr>
            <sz val="9"/>
            <color indexed="81"/>
            <rFont val="Tahoma"/>
            <family val="2"/>
          </rPr>
          <t>1 cup = 237 g</t>
        </r>
      </text>
    </comment>
    <comment ref="L15" authorId="0" shapeId="0" xr:uid="{00000000-0006-0000-0100-000023000000}">
      <text>
        <r>
          <rPr>
            <sz val="9"/>
            <color indexed="81"/>
            <rFont val="Tahoma"/>
            <family val="2"/>
          </rPr>
          <t>1 cup = 190 g</t>
        </r>
      </text>
    </comment>
    <comment ref="P15" authorId="0" shapeId="0" xr:uid="{00000000-0006-0000-0100-000024000000}">
      <text>
        <r>
          <rPr>
            <sz val="9"/>
            <color indexed="81"/>
            <rFont val="Tahoma"/>
            <family val="2"/>
          </rPr>
          <t>1 cup = 190 g</t>
        </r>
      </text>
    </comment>
    <comment ref="T15" authorId="0" shapeId="0" xr:uid="{00000000-0006-0000-0100-000025000000}">
      <text>
        <r>
          <rPr>
            <sz val="9"/>
            <color indexed="81"/>
            <rFont val="Tahoma"/>
            <family val="2"/>
          </rPr>
          <t>1 cup = 190 g</t>
        </r>
      </text>
    </comment>
    <comment ref="X15" authorId="0" shapeId="0" xr:uid="{00000000-0006-0000-0100-000026000000}">
      <text>
        <r>
          <rPr>
            <sz val="9"/>
            <color indexed="81"/>
            <rFont val="Tahoma"/>
            <family val="2"/>
          </rPr>
          <t>1 cup = 190 g</t>
        </r>
      </text>
    </comment>
    <comment ref="AB15" authorId="0" shapeId="0" xr:uid="{00000000-0006-0000-0100-000027000000}">
      <text>
        <r>
          <rPr>
            <sz val="9"/>
            <color indexed="81"/>
            <rFont val="Tahoma"/>
            <family val="2"/>
          </rPr>
          <t>1 cup = 190 g</t>
        </r>
      </text>
    </comment>
    <comment ref="L16" authorId="0" shapeId="0" xr:uid="{00000000-0006-0000-0100-000028000000}">
      <text>
        <r>
          <rPr>
            <sz val="9"/>
            <color indexed="81"/>
            <rFont val="Tahoma"/>
            <family val="2"/>
          </rPr>
          <t>5 oz  = 142 g</t>
        </r>
      </text>
    </comment>
    <comment ref="P16" authorId="0" shapeId="0" xr:uid="{00000000-0006-0000-0100-000029000000}">
      <text>
        <r>
          <rPr>
            <sz val="9"/>
            <color indexed="81"/>
            <rFont val="Tahoma"/>
            <family val="2"/>
          </rPr>
          <t>5 oz  = 142 g</t>
        </r>
      </text>
    </comment>
    <comment ref="T16" authorId="0" shapeId="0" xr:uid="{00000000-0006-0000-0100-00002A000000}">
      <text>
        <r>
          <rPr>
            <sz val="9"/>
            <color indexed="81"/>
            <rFont val="Tahoma"/>
            <family val="2"/>
          </rPr>
          <t>5 oz  = 142 g</t>
        </r>
      </text>
    </comment>
    <comment ref="X16" authorId="0" shapeId="0" xr:uid="{00000000-0006-0000-0100-00002B000000}">
      <text>
        <r>
          <rPr>
            <sz val="9"/>
            <color indexed="81"/>
            <rFont val="Tahoma"/>
            <family val="2"/>
          </rPr>
          <t>5 oz  = 142 g</t>
        </r>
      </text>
    </comment>
    <comment ref="AB16" authorId="0" shapeId="0" xr:uid="{00000000-0006-0000-0100-00002C000000}">
      <text>
        <r>
          <rPr>
            <sz val="9"/>
            <color indexed="81"/>
            <rFont val="Tahoma"/>
            <family val="2"/>
          </rPr>
          <t>5 oz  = 142 g</t>
        </r>
      </text>
    </comment>
    <comment ref="L17" authorId="0" shapeId="0" xr:uid="{00000000-0006-0000-0100-00002D000000}">
      <text>
        <r>
          <rPr>
            <sz val="9"/>
            <color indexed="81"/>
            <rFont val="Tahoma"/>
            <family val="2"/>
          </rPr>
          <t>1 tbsp = 14 g</t>
        </r>
      </text>
    </comment>
    <comment ref="P17" authorId="0" shapeId="0" xr:uid="{00000000-0006-0000-0100-00002E000000}">
      <text>
        <r>
          <rPr>
            <sz val="9"/>
            <color indexed="81"/>
            <rFont val="Tahoma"/>
            <family val="2"/>
          </rPr>
          <t>1 tbsp = 14 g</t>
        </r>
      </text>
    </comment>
    <comment ref="T17" authorId="0" shapeId="0" xr:uid="{00000000-0006-0000-0100-00002F000000}">
      <text>
        <r>
          <rPr>
            <sz val="9"/>
            <color indexed="81"/>
            <rFont val="Tahoma"/>
            <family val="2"/>
          </rPr>
          <t>1 tbsp = 14 g</t>
        </r>
      </text>
    </comment>
    <comment ref="X17" authorId="0" shapeId="0" xr:uid="{00000000-0006-0000-0100-000030000000}">
      <text>
        <r>
          <rPr>
            <sz val="9"/>
            <color indexed="81"/>
            <rFont val="Tahoma"/>
            <family val="2"/>
          </rPr>
          <t>1 tbsp = 14 g</t>
        </r>
      </text>
    </comment>
    <comment ref="AB17" authorId="0" shapeId="0" xr:uid="{00000000-0006-0000-0100-000031000000}">
      <text>
        <r>
          <rPr>
            <sz val="9"/>
            <color indexed="81"/>
            <rFont val="Tahoma"/>
            <family val="2"/>
          </rPr>
          <t>1 tbsp = 14 g</t>
        </r>
      </text>
    </comment>
    <comment ref="L18" authorId="0" shapeId="0" xr:uid="{00000000-0006-0000-0100-000032000000}">
      <text>
        <r>
          <rPr>
            <sz val="9"/>
            <color indexed="81"/>
            <rFont val="Tahoma"/>
            <family val="2"/>
          </rPr>
          <t>1 cup, chopped = 91 g</t>
        </r>
      </text>
    </comment>
    <comment ref="P18" authorId="0" shapeId="0" xr:uid="{00000000-0006-0000-0100-000033000000}">
      <text>
        <r>
          <rPr>
            <sz val="9"/>
            <color indexed="81"/>
            <rFont val="Tahoma"/>
            <family val="2"/>
          </rPr>
          <t>1 cup, chopped = 91 g</t>
        </r>
      </text>
    </comment>
    <comment ref="T18" authorId="0" shapeId="0" xr:uid="{00000000-0006-0000-0100-000034000000}">
      <text>
        <r>
          <rPr>
            <sz val="9"/>
            <color indexed="81"/>
            <rFont val="Tahoma"/>
            <family val="2"/>
          </rPr>
          <t>1 cup, chopped = 91 g</t>
        </r>
      </text>
    </comment>
    <comment ref="X18" authorId="0" shapeId="0" xr:uid="{00000000-0006-0000-0100-000035000000}">
      <text>
        <r>
          <rPr>
            <sz val="9"/>
            <color indexed="81"/>
            <rFont val="Tahoma"/>
            <family val="2"/>
          </rPr>
          <t>1 cup, chopped = 91 g</t>
        </r>
      </text>
    </comment>
    <comment ref="AB18" authorId="0" shapeId="0" xr:uid="{00000000-0006-0000-0100-000036000000}">
      <text>
        <r>
          <rPr>
            <sz val="9"/>
            <color indexed="81"/>
            <rFont val="Tahoma"/>
            <family val="2"/>
          </rPr>
          <t>1 cup, chopped = 91 g</t>
        </r>
      </text>
    </comment>
    <comment ref="L26" authorId="0" shapeId="0" xr:uid="{00000000-0006-0000-0100-000037000000}">
      <text>
        <r>
          <rPr>
            <sz val="9"/>
            <color indexed="81"/>
            <rFont val="Tahoma"/>
            <family val="2"/>
          </rPr>
          <t>1 pita,  large (6-1/2" dia) = 64 g</t>
        </r>
      </text>
    </comment>
    <comment ref="P26" authorId="0" shapeId="0" xr:uid="{00000000-0006-0000-0100-000038000000}">
      <text>
        <r>
          <rPr>
            <sz val="9"/>
            <color indexed="81"/>
            <rFont val="Tahoma"/>
            <family val="2"/>
          </rPr>
          <t>1 pita,  large (6-1/2" dia) = 64 g</t>
        </r>
      </text>
    </comment>
    <comment ref="T26" authorId="0" shapeId="0" xr:uid="{00000000-0006-0000-0100-000039000000}">
      <text>
        <r>
          <rPr>
            <sz val="9"/>
            <color indexed="81"/>
            <rFont val="Tahoma"/>
            <family val="2"/>
          </rPr>
          <t>1 pita,  large (6-1/2" dia) = 64 g</t>
        </r>
      </text>
    </comment>
    <comment ref="X26" authorId="0" shapeId="0" xr:uid="{00000000-0006-0000-0100-00003A000000}">
      <text>
        <r>
          <rPr>
            <sz val="9"/>
            <color indexed="81"/>
            <rFont val="Tahoma"/>
            <family val="2"/>
          </rPr>
          <t>1 pita,  large (6-1/2" dia) = 64 g</t>
        </r>
      </text>
    </comment>
    <comment ref="AB26" authorId="0" shapeId="0" xr:uid="{00000000-0006-0000-0100-00003B000000}">
      <text>
        <r>
          <rPr>
            <sz val="9"/>
            <color indexed="81"/>
            <rFont val="Tahoma"/>
            <family val="2"/>
          </rPr>
          <t>1 pita,  large (6-1/2" dia) = 64 g</t>
        </r>
      </text>
    </comment>
    <comment ref="L27" authorId="0" shapeId="0" xr:uid="{00000000-0006-0000-0100-00003C000000}">
      <text>
        <r>
          <rPr>
            <sz val="9"/>
            <color indexed="81"/>
            <rFont val="Tahoma"/>
            <family val="2"/>
          </rPr>
          <t>1 slice = 21 g</t>
        </r>
      </text>
    </comment>
    <comment ref="P27" authorId="0" shapeId="0" xr:uid="{00000000-0006-0000-0100-00003D000000}">
      <text>
        <r>
          <rPr>
            <sz val="9"/>
            <color indexed="81"/>
            <rFont val="Tahoma"/>
            <family val="2"/>
          </rPr>
          <t>1 slice = 21 g</t>
        </r>
      </text>
    </comment>
    <comment ref="T27" authorId="0" shapeId="0" xr:uid="{00000000-0006-0000-0100-00003E000000}">
      <text>
        <r>
          <rPr>
            <sz val="9"/>
            <color indexed="81"/>
            <rFont val="Tahoma"/>
            <family val="2"/>
          </rPr>
          <t>1 slice = 21 g</t>
        </r>
      </text>
    </comment>
    <comment ref="X27" authorId="0" shapeId="0" xr:uid="{00000000-0006-0000-0100-00003F000000}">
      <text>
        <r>
          <rPr>
            <sz val="9"/>
            <color indexed="81"/>
            <rFont val="Tahoma"/>
            <family val="2"/>
          </rPr>
          <t>1 slice = 21 g</t>
        </r>
      </text>
    </comment>
    <comment ref="AB27" authorId="0" shapeId="0" xr:uid="{00000000-0006-0000-0100-000040000000}">
      <text>
        <r>
          <rPr>
            <sz val="9"/>
            <color indexed="81"/>
            <rFont val="Tahoma"/>
            <family val="2"/>
          </rPr>
          <t>1 slice = 21 g</t>
        </r>
      </text>
    </comment>
    <comment ref="L28" authorId="0" shapeId="0" xr:uid="{00000000-0006-0000-0100-000041000000}">
      <text>
        <r>
          <rPr>
            <sz val="9"/>
            <color indexed="81"/>
            <rFont val="Tahoma"/>
            <family val="2"/>
          </rPr>
          <t>1 tbsp = 16 g</t>
        </r>
      </text>
    </comment>
    <comment ref="P28" authorId="0" shapeId="0" xr:uid="{00000000-0006-0000-0100-000042000000}">
      <text>
        <r>
          <rPr>
            <sz val="9"/>
            <color indexed="81"/>
            <rFont val="Tahoma"/>
            <family val="2"/>
          </rPr>
          <t>1 tbsp = 16 g</t>
        </r>
      </text>
    </comment>
    <comment ref="T28" authorId="0" shapeId="0" xr:uid="{00000000-0006-0000-0100-000043000000}">
      <text>
        <r>
          <rPr>
            <sz val="9"/>
            <color indexed="81"/>
            <rFont val="Tahoma"/>
            <family val="2"/>
          </rPr>
          <t>1 tbsp = 16 g</t>
        </r>
      </text>
    </comment>
    <comment ref="X28" authorId="0" shapeId="0" xr:uid="{00000000-0006-0000-0100-000044000000}">
      <text>
        <r>
          <rPr>
            <sz val="9"/>
            <color indexed="81"/>
            <rFont val="Tahoma"/>
            <family val="2"/>
          </rPr>
          <t>1 tbsp = 16 g</t>
        </r>
      </text>
    </comment>
    <comment ref="AB28" authorId="0" shapeId="0" xr:uid="{00000000-0006-0000-0100-000045000000}">
      <text>
        <r>
          <rPr>
            <sz val="9"/>
            <color indexed="81"/>
            <rFont val="Tahoma"/>
            <family val="2"/>
          </rPr>
          <t>1 tbsp = 16 g</t>
        </r>
      </text>
    </comment>
    <comment ref="L29" authorId="0" shapeId="0" xr:uid="{00000000-0006-0000-0100-000046000000}">
      <text>
        <r>
          <rPr>
            <sz val="9"/>
            <color indexed="81"/>
            <rFont val="Tahoma"/>
            <family val="2"/>
          </rPr>
          <t>1/2 cup = 113 g</t>
        </r>
      </text>
    </comment>
    <comment ref="P29" authorId="0" shapeId="0" xr:uid="{00000000-0006-0000-0100-000047000000}">
      <text>
        <r>
          <rPr>
            <sz val="9"/>
            <color indexed="81"/>
            <rFont val="Tahoma"/>
            <family val="2"/>
          </rPr>
          <t>1/2 cup = 113 g</t>
        </r>
      </text>
    </comment>
    <comment ref="T29" authorId="0" shapeId="0" xr:uid="{00000000-0006-0000-0100-000048000000}">
      <text>
        <r>
          <rPr>
            <sz val="9"/>
            <color indexed="81"/>
            <rFont val="Tahoma"/>
            <family val="2"/>
          </rPr>
          <t>1/2 cup = 113 g</t>
        </r>
      </text>
    </comment>
    <comment ref="X29" authorId="0" shapeId="0" xr:uid="{00000000-0006-0000-0100-000049000000}">
      <text>
        <r>
          <rPr>
            <sz val="9"/>
            <color indexed="81"/>
            <rFont val="Tahoma"/>
            <family val="2"/>
          </rPr>
          <t>1/2 cup = 113 g</t>
        </r>
      </text>
    </comment>
    <comment ref="AB29" authorId="0" shapeId="0" xr:uid="{00000000-0006-0000-0100-00004A000000}">
      <text>
        <r>
          <rPr>
            <sz val="9"/>
            <color indexed="81"/>
            <rFont val="Tahoma"/>
            <family val="2"/>
          </rPr>
          <t>1/2 cup = 113 g</t>
        </r>
      </text>
    </comment>
    <comment ref="L30" authorId="0" shapeId="0" xr:uid="{00000000-0006-0000-0100-00004B000000}">
      <text>
        <r>
          <rPr>
            <sz val="9"/>
            <color indexed="81"/>
            <rFont val="Tahoma"/>
            <family val="2"/>
          </rPr>
          <t>1 cup, quartered or chopped = 125 g</t>
        </r>
      </text>
    </comment>
    <comment ref="P30" authorId="0" shapeId="0" xr:uid="{00000000-0006-0000-0100-00004C000000}">
      <text>
        <r>
          <rPr>
            <sz val="9"/>
            <color indexed="81"/>
            <rFont val="Tahoma"/>
            <family val="2"/>
          </rPr>
          <t>1 cup, quartered or chopped = 125 g</t>
        </r>
      </text>
    </comment>
    <comment ref="T30" authorId="0" shapeId="0" xr:uid="{00000000-0006-0000-0100-00004D000000}">
      <text>
        <r>
          <rPr>
            <sz val="9"/>
            <color indexed="81"/>
            <rFont val="Tahoma"/>
            <family val="2"/>
          </rPr>
          <t>1 cup, quartered or chopped = 125 g</t>
        </r>
      </text>
    </comment>
    <comment ref="X30" authorId="0" shapeId="0" xr:uid="{00000000-0006-0000-0100-00004E000000}">
      <text>
        <r>
          <rPr>
            <sz val="9"/>
            <color indexed="81"/>
            <rFont val="Tahoma"/>
            <family val="2"/>
          </rPr>
          <t>1 cup, quartered or chopped = 125 g</t>
        </r>
      </text>
    </comment>
    <comment ref="AB30" authorId="0" shapeId="0" xr:uid="{00000000-0006-0000-0100-00004F000000}">
      <text>
        <r>
          <rPr>
            <sz val="9"/>
            <color indexed="81"/>
            <rFont val="Tahoma"/>
            <family val="2"/>
          </rPr>
          <t>1 cup, quartered or chopped = 125 g</t>
        </r>
      </text>
    </comment>
    <comment ref="L31" authorId="0" shapeId="0" xr:uid="{00000000-0006-0000-0100-000050000000}">
      <text>
        <r>
          <rPr>
            <sz val="9"/>
            <color indexed="81"/>
            <rFont val="Tahoma"/>
            <family val="2"/>
          </rPr>
          <t>1 cup, ground = 95 g</t>
        </r>
      </text>
    </comment>
    <comment ref="P31" authorId="0" shapeId="0" xr:uid="{00000000-0006-0000-0100-000051000000}">
      <text>
        <r>
          <rPr>
            <sz val="9"/>
            <color indexed="81"/>
            <rFont val="Tahoma"/>
            <family val="2"/>
          </rPr>
          <t>1 cup, ground = 95 g</t>
        </r>
      </text>
    </comment>
    <comment ref="T31" authorId="0" shapeId="0" xr:uid="{00000000-0006-0000-0100-000052000000}">
      <text>
        <r>
          <rPr>
            <sz val="9"/>
            <color indexed="81"/>
            <rFont val="Tahoma"/>
            <family val="2"/>
          </rPr>
          <t>1 cup, ground = 95 g</t>
        </r>
      </text>
    </comment>
    <comment ref="X31" authorId="0" shapeId="0" xr:uid="{00000000-0006-0000-0100-000053000000}">
      <text>
        <r>
          <rPr>
            <sz val="9"/>
            <color indexed="81"/>
            <rFont val="Tahoma"/>
            <family val="2"/>
          </rPr>
          <t>1 cup, ground = 95 g</t>
        </r>
      </text>
    </comment>
    <comment ref="AB31" authorId="0" shapeId="0" xr:uid="{00000000-0006-0000-0100-000054000000}">
      <text>
        <r>
          <rPr>
            <sz val="9"/>
            <color indexed="81"/>
            <rFont val="Tahoma"/>
            <family val="2"/>
          </rPr>
          <t>1 cup, ground = 95 g</t>
        </r>
      </text>
    </comment>
    <comment ref="L37" authorId="0" shapeId="0" xr:uid="{00000000-0006-0000-0100-000055000000}">
      <text>
        <r>
          <rPr>
            <sz val="9"/>
            <color indexed="81"/>
            <rFont val="Tahoma"/>
            <family val="2"/>
          </rPr>
          <t>1 cup = 190 g</t>
        </r>
      </text>
    </comment>
    <comment ref="P37" authorId="0" shapeId="0" xr:uid="{00000000-0006-0000-0100-000056000000}">
      <text>
        <r>
          <rPr>
            <sz val="9"/>
            <color indexed="81"/>
            <rFont val="Tahoma"/>
            <family val="2"/>
          </rPr>
          <t>1 cup = 190 g</t>
        </r>
      </text>
    </comment>
    <comment ref="X37" authorId="0" shapeId="0" xr:uid="{00000000-0006-0000-0100-000057000000}">
      <text>
        <r>
          <rPr>
            <sz val="9"/>
            <color indexed="81"/>
            <rFont val="Tahoma"/>
            <family val="2"/>
          </rPr>
          <t>1 cup = 190 g</t>
        </r>
      </text>
    </comment>
    <comment ref="AB37" authorId="0" shapeId="0" xr:uid="{00000000-0006-0000-0100-000058000000}">
      <text>
        <r>
          <rPr>
            <sz val="9"/>
            <color indexed="81"/>
            <rFont val="Tahoma"/>
            <family val="2"/>
          </rPr>
          <t>1 cup = 190 g</t>
        </r>
      </text>
    </comment>
    <comment ref="L38" authorId="0" shapeId="0" xr:uid="{00000000-0006-0000-0100-000059000000}">
      <text>
        <r>
          <rPr>
            <sz val="9"/>
            <color indexed="81"/>
            <rFont val="Tahoma"/>
            <family val="2"/>
          </rPr>
          <t>5 oz  = 142 g</t>
        </r>
      </text>
    </comment>
    <comment ref="P38" authorId="0" shapeId="0" xr:uid="{00000000-0006-0000-0100-00005A000000}">
      <text>
        <r>
          <rPr>
            <sz val="9"/>
            <color indexed="81"/>
            <rFont val="Tahoma"/>
            <family val="2"/>
          </rPr>
          <t>5 oz  = 142 g</t>
        </r>
      </text>
    </comment>
    <comment ref="X38" authorId="0" shapeId="0" xr:uid="{00000000-0006-0000-0100-00005B000000}">
      <text>
        <r>
          <rPr>
            <sz val="9"/>
            <color indexed="81"/>
            <rFont val="Tahoma"/>
            <family val="2"/>
          </rPr>
          <t>5 oz  = 142 g</t>
        </r>
      </text>
    </comment>
    <comment ref="AB38" authorId="0" shapeId="0" xr:uid="{00000000-0006-0000-0100-00005C000000}">
      <text>
        <r>
          <rPr>
            <sz val="9"/>
            <color indexed="81"/>
            <rFont val="Tahoma"/>
            <family val="2"/>
          </rPr>
          <t>5 oz  = 142 g</t>
        </r>
      </text>
    </comment>
    <comment ref="L39" authorId="0" shapeId="0" xr:uid="{00000000-0006-0000-0100-00005D000000}">
      <text>
        <r>
          <rPr>
            <sz val="9"/>
            <color indexed="81"/>
            <rFont val="Tahoma"/>
            <family val="2"/>
          </rPr>
          <t>1 cup, chopped = 128 g</t>
        </r>
      </text>
    </comment>
    <comment ref="P39" authorId="0" shapeId="0" xr:uid="{00000000-0006-0000-0100-00005E000000}">
      <text>
        <r>
          <rPr>
            <sz val="9"/>
            <color indexed="81"/>
            <rFont val="Tahoma"/>
            <family val="2"/>
          </rPr>
          <t>1 cup, chopped = 128 g</t>
        </r>
      </text>
    </comment>
    <comment ref="X39" authorId="0" shapeId="0" xr:uid="{00000000-0006-0000-0100-00005F000000}">
      <text>
        <r>
          <rPr>
            <sz val="9"/>
            <color indexed="81"/>
            <rFont val="Tahoma"/>
            <family val="2"/>
          </rPr>
          <t>1 cup, chopped = 128 g</t>
        </r>
      </text>
    </comment>
    <comment ref="AB39" authorId="0" shapeId="0" xr:uid="{00000000-0006-0000-0100-000060000000}">
      <text>
        <r>
          <rPr>
            <sz val="9"/>
            <color indexed="81"/>
            <rFont val="Tahoma"/>
            <family val="2"/>
          </rPr>
          <t>1 cup, chopped = 128 g</t>
        </r>
      </text>
    </comment>
    <comment ref="L40" authorId="0" shapeId="0" xr:uid="{00000000-0006-0000-0100-000061000000}">
      <text>
        <r>
          <rPr>
            <sz val="9"/>
            <color indexed="81"/>
            <rFont val="Tahoma"/>
            <family val="2"/>
          </rPr>
          <t>1 tbsp = 14 g</t>
        </r>
      </text>
    </comment>
    <comment ref="P40" authorId="0" shapeId="0" xr:uid="{00000000-0006-0000-0100-000062000000}">
      <text>
        <r>
          <rPr>
            <sz val="9"/>
            <color indexed="81"/>
            <rFont val="Tahoma"/>
            <family val="2"/>
          </rPr>
          <t>1 tbsp = 14 g</t>
        </r>
      </text>
    </comment>
    <comment ref="X40" authorId="0" shapeId="0" xr:uid="{00000000-0006-0000-0100-000063000000}">
      <text>
        <r>
          <rPr>
            <sz val="9"/>
            <color indexed="81"/>
            <rFont val="Tahoma"/>
            <family val="2"/>
          </rPr>
          <t>1 tbsp = 14 g</t>
        </r>
      </text>
    </comment>
    <comment ref="AB40" authorId="0" shapeId="0" xr:uid="{00000000-0006-0000-0100-000064000000}">
      <text>
        <r>
          <rPr>
            <sz val="9"/>
            <color indexed="81"/>
            <rFont val="Tahoma"/>
            <family val="2"/>
          </rPr>
          <t>1 tbsp = 14 g</t>
        </r>
      </text>
    </comment>
    <comment ref="L52" authorId="0" shapeId="0" xr:uid="{00000000-0006-0000-0100-000065000000}">
      <text>
        <r>
          <rPr>
            <sz val="9"/>
            <color indexed="81"/>
            <rFont val="Tahoma"/>
            <family val="2"/>
          </rPr>
          <t>1 tbsp = 14 g</t>
        </r>
      </text>
    </comment>
    <comment ref="P52" authorId="0" shapeId="0" xr:uid="{00000000-0006-0000-0100-000066000000}">
      <text>
        <r>
          <rPr>
            <sz val="9"/>
            <color indexed="81"/>
            <rFont val="Tahoma"/>
            <family val="2"/>
          </rPr>
          <t>1 tbsp = 14 g</t>
        </r>
      </text>
    </comment>
    <comment ref="T52" authorId="0" shapeId="0" xr:uid="{00000000-0006-0000-0100-000067000000}">
      <text>
        <r>
          <rPr>
            <sz val="9"/>
            <color indexed="81"/>
            <rFont val="Tahoma"/>
            <family val="2"/>
          </rPr>
          <t>1 tbsp = 14 g</t>
        </r>
      </text>
    </comment>
    <comment ref="X52" authorId="0" shapeId="0" xr:uid="{00000000-0006-0000-0100-000068000000}">
      <text>
        <r>
          <rPr>
            <sz val="9"/>
            <color indexed="81"/>
            <rFont val="Tahoma"/>
            <family val="2"/>
          </rPr>
          <t>1 tbsp = 14 g</t>
        </r>
      </text>
    </comment>
    <comment ref="AB52" authorId="0" shapeId="0" xr:uid="{00000000-0006-0000-0100-000069000000}">
      <text>
        <r>
          <rPr>
            <sz val="9"/>
            <color indexed="81"/>
            <rFont val="Tahoma"/>
            <family val="2"/>
          </rPr>
          <t>1 tbsp = 14 g</t>
        </r>
      </text>
    </comment>
    <comment ref="AB59" authorId="0" shapeId="0" xr:uid="{00000000-0006-0000-0100-00006A000000}">
      <text>
        <r>
          <rPr>
            <sz val="9"/>
            <color indexed="81"/>
            <rFont val="Tahoma"/>
            <family val="2"/>
          </rPr>
          <t>1/2 cup = 113 g</t>
        </r>
      </text>
    </comment>
    <comment ref="L60" authorId="0" shapeId="0" xr:uid="{00000000-0006-0000-0100-00006B000000}">
      <text>
        <r>
          <rPr>
            <sz val="9"/>
            <color indexed="81"/>
            <rFont val="Tahoma"/>
            <family val="2"/>
          </rPr>
          <t>1/4 lb = 114 g</t>
        </r>
      </text>
    </comment>
    <comment ref="P60" authorId="0" shapeId="0" xr:uid="{00000000-0006-0000-0100-00006C000000}">
      <text>
        <r>
          <rPr>
            <sz val="9"/>
            <color indexed="81"/>
            <rFont val="Tahoma"/>
            <family val="2"/>
          </rPr>
          <t>1 cup, elbow shaped = 105 g</t>
        </r>
      </text>
    </comment>
    <comment ref="AB60" authorId="0" shapeId="0" xr:uid="{00000000-0006-0000-0100-00006D000000}">
      <text>
        <r>
          <rPr>
            <sz val="9"/>
            <color indexed="81"/>
            <rFont val="Tahoma"/>
            <family val="2"/>
          </rPr>
          <t>1/4 lb = 114 g</t>
        </r>
      </text>
    </comment>
    <comment ref="L61" authorId="0" shapeId="0" xr:uid="{00000000-0006-0000-0100-00006E000000}">
      <text>
        <r>
          <rPr>
            <sz val="9"/>
            <color indexed="81"/>
            <rFont val="Tahoma"/>
            <family val="2"/>
          </rPr>
          <t>1 1/4 cup = 90 g</t>
        </r>
      </text>
    </comment>
    <comment ref="P61" authorId="0" shapeId="0" xr:uid="{00000000-0006-0000-0100-00006F000000}">
      <text>
        <r>
          <rPr>
            <sz val="9"/>
            <color indexed="81"/>
            <rFont val="Tahoma"/>
            <family val="2"/>
          </rPr>
          <t>1/4 lb = 114 g</t>
        </r>
      </text>
    </comment>
    <comment ref="AB61" authorId="0" shapeId="0" xr:uid="{00000000-0006-0000-0100-000070000000}">
      <text>
        <r>
          <rPr>
            <sz val="9"/>
            <color indexed="81"/>
            <rFont val="Tahoma"/>
            <family val="2"/>
          </rPr>
          <t>1 1/4 cup = 90 g</t>
        </r>
      </text>
    </comment>
    <comment ref="L70" authorId="0" shapeId="0" xr:uid="{00000000-0006-0000-0100-000071000000}">
      <text>
        <r>
          <rPr>
            <sz val="9"/>
            <color indexed="81"/>
            <rFont val="Tahoma"/>
            <family val="2"/>
          </rPr>
          <t>1 cup = 245 g</t>
        </r>
      </text>
    </comment>
    <comment ref="P70" authorId="0" shapeId="0" xr:uid="{00000000-0006-0000-0100-000072000000}">
      <text>
        <r>
          <rPr>
            <sz val="9"/>
            <color indexed="81"/>
            <rFont val="Tahoma"/>
            <family val="2"/>
          </rPr>
          <t>1 cup = 245 g</t>
        </r>
      </text>
    </comment>
    <comment ref="T70" authorId="0" shapeId="0" xr:uid="{00000000-0006-0000-0100-000073000000}">
      <text>
        <r>
          <rPr>
            <sz val="9"/>
            <color indexed="81"/>
            <rFont val="Tahoma"/>
            <family val="2"/>
          </rPr>
          <t>1 cup = 245 g</t>
        </r>
      </text>
    </comment>
    <comment ref="X70" authorId="0" shapeId="0" xr:uid="{00000000-0006-0000-0100-000074000000}">
      <text>
        <r>
          <rPr>
            <sz val="9"/>
            <color indexed="81"/>
            <rFont val="Tahoma"/>
            <family val="2"/>
          </rPr>
          <t>1 cup = 245 g</t>
        </r>
      </text>
    </comment>
    <comment ref="AB70" authorId="0" shapeId="0" xr:uid="{00000000-0006-0000-0100-000075000000}">
      <text>
        <r>
          <rPr>
            <sz val="9"/>
            <color indexed="81"/>
            <rFont val="Tahoma"/>
            <family val="2"/>
          </rPr>
          <t>1 cup = 245 g</t>
        </r>
      </text>
    </comment>
    <comment ref="L71" authorId="0" shapeId="0" xr:uid="{00000000-0006-0000-0100-000076000000}">
      <text>
        <r>
          <rPr>
            <sz val="9"/>
            <color indexed="81"/>
            <rFont val="Tahoma"/>
            <family val="2"/>
          </rPr>
          <t>1 cup,  halves = 152 g</t>
        </r>
      </text>
    </comment>
    <comment ref="L72" authorId="0" shapeId="0" xr:uid="{00000000-0006-0000-0100-000077000000}">
      <text>
        <r>
          <rPr>
            <sz val="9"/>
            <color indexed="81"/>
            <rFont val="Tahoma"/>
            <family val="2"/>
          </rPr>
          <t>1 banana = 118 g</t>
        </r>
      </text>
    </comment>
    <comment ref="L73" authorId="0" shapeId="0" xr:uid="{00000000-0006-0000-0100-000078000000}">
      <text>
        <r>
          <rPr>
            <sz val="9"/>
            <color indexed="81"/>
            <rFont val="Tahoma"/>
            <family val="2"/>
          </rPr>
          <t>1 scoop = 30 g</t>
        </r>
      </text>
    </comment>
    <comment ref="P73" authorId="0" shapeId="0" xr:uid="{00000000-0006-0000-0100-000079000000}">
      <text>
        <r>
          <rPr>
            <sz val="9"/>
            <color indexed="81"/>
            <rFont val="Tahoma"/>
            <family val="2"/>
          </rPr>
          <t>1 scoop = 30 g</t>
        </r>
      </text>
    </comment>
    <comment ref="T73" authorId="0" shapeId="0" xr:uid="{00000000-0006-0000-0100-00007A000000}">
      <text>
        <r>
          <rPr>
            <sz val="9"/>
            <color indexed="81"/>
            <rFont val="Tahoma"/>
            <family val="2"/>
          </rPr>
          <t>1 scoop = 30 g</t>
        </r>
      </text>
    </comment>
    <comment ref="X73" authorId="0" shapeId="0" xr:uid="{00000000-0006-0000-0100-00007B000000}">
      <text>
        <r>
          <rPr>
            <sz val="9"/>
            <color indexed="81"/>
            <rFont val="Tahoma"/>
            <family val="2"/>
          </rPr>
          <t>1 scoop = 30 g</t>
        </r>
      </text>
    </comment>
    <comment ref="AB73" authorId="0" shapeId="0" xr:uid="{00000000-0006-0000-0100-00007C000000}">
      <text>
        <r>
          <rPr>
            <sz val="9"/>
            <color indexed="81"/>
            <rFont val="Tahoma"/>
            <family val="2"/>
          </rPr>
          <t>1 scoop = 30 g</t>
        </r>
      </text>
    </comment>
    <comment ref="L74" authorId="0" shapeId="0" xr:uid="{00000000-0006-0000-0100-00007D000000}">
      <text>
        <r>
          <rPr>
            <sz val="9"/>
            <color indexed="81"/>
            <rFont val="Tahoma"/>
            <family val="2"/>
          </rPr>
          <t>1 cup = 244 g</t>
        </r>
      </text>
    </comment>
    <comment ref="P74" authorId="0" shapeId="0" xr:uid="{00000000-0006-0000-0100-00007E000000}">
      <text>
        <r>
          <rPr>
            <sz val="9"/>
            <color indexed="81"/>
            <rFont val="Tahoma"/>
            <family val="2"/>
          </rPr>
          <t>1 cup = 244 g</t>
        </r>
      </text>
    </comment>
    <comment ref="T74" authorId="0" shapeId="0" xr:uid="{00000000-0006-0000-0100-00007F000000}">
      <text>
        <r>
          <rPr>
            <sz val="9"/>
            <color indexed="81"/>
            <rFont val="Tahoma"/>
            <family val="2"/>
          </rPr>
          <t>1 cup = 244 g</t>
        </r>
      </text>
    </comment>
    <comment ref="X74" authorId="0" shapeId="0" xr:uid="{00000000-0006-0000-0100-000080000000}">
      <text>
        <r>
          <rPr>
            <sz val="9"/>
            <color indexed="81"/>
            <rFont val="Tahoma"/>
            <family val="2"/>
          </rPr>
          <t>1 cup = 244 g</t>
        </r>
      </text>
    </comment>
    <comment ref="AB74" authorId="0" shapeId="0" xr:uid="{00000000-0006-0000-0100-000081000000}">
      <text>
        <r>
          <rPr>
            <sz val="9"/>
            <color indexed="81"/>
            <rFont val="Tahoma"/>
            <family val="2"/>
          </rPr>
          <t>1 cup = 244 g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Dave</author>
  </authors>
  <commentList>
    <comment ref="AB8" authorId="0" shapeId="0" xr:uid="{00000000-0006-0000-0200-000001000000}">
      <text>
        <r>
          <rPr>
            <sz val="9"/>
            <color indexed="81"/>
            <rFont val="Tahoma"/>
            <family val="2"/>
          </rPr>
          <t>1 cup, ground = 95 g</t>
        </r>
      </text>
    </comment>
    <comment ref="L26" authorId="0" shapeId="0" xr:uid="{00000000-0006-0000-0200-000002000000}">
      <text>
        <r>
          <rPr>
            <sz val="9"/>
            <color indexed="81"/>
            <rFont val="Tahoma"/>
            <family val="2"/>
          </rPr>
          <t>1 1/4 cup = 90 g</t>
        </r>
      </text>
    </comment>
    <comment ref="P26" authorId="0" shapeId="0" xr:uid="{00000000-0006-0000-0200-000003000000}">
      <text>
        <r>
          <rPr>
            <sz val="9"/>
            <color indexed="81"/>
            <rFont val="Tahoma"/>
            <family val="2"/>
          </rPr>
          <t>1 1/4 cup = 90 g</t>
        </r>
      </text>
    </comment>
    <comment ref="L27" authorId="0" shapeId="0" xr:uid="{00000000-0006-0000-0200-000004000000}">
      <text>
        <r>
          <rPr>
            <sz val="9"/>
            <color indexed="81"/>
            <rFont val="Tahoma"/>
            <family val="2"/>
          </rPr>
          <t>1/4 lb = 114 g</t>
        </r>
      </text>
    </comment>
    <comment ref="P27" authorId="0" shapeId="0" xr:uid="{00000000-0006-0000-0200-000005000000}">
      <text>
        <r>
          <rPr>
            <sz val="9"/>
            <color indexed="81"/>
            <rFont val="Tahoma"/>
            <family val="2"/>
          </rPr>
          <t>1/4 lb = 114 g</t>
        </r>
      </text>
    </comment>
    <comment ref="L28" authorId="0" shapeId="0" xr:uid="{00000000-0006-0000-0200-000006000000}">
      <text>
        <r>
          <rPr>
            <sz val="9"/>
            <color indexed="81"/>
            <rFont val="Tahoma"/>
            <family val="2"/>
          </rPr>
          <t>1 serving, 1/2 cup = 129 g</t>
        </r>
      </text>
    </comment>
    <comment ref="P28" authorId="0" shapeId="0" xr:uid="{00000000-0006-0000-0200-000007000000}">
      <text>
        <r>
          <rPr>
            <sz val="9"/>
            <color indexed="81"/>
            <rFont val="Tahoma"/>
            <family val="2"/>
          </rPr>
          <t>1 serving, 1/2 cup = 129 g</t>
        </r>
      </text>
    </comment>
    <comment ref="L29" authorId="0" shapeId="0" xr:uid="{00000000-0006-0000-0200-000008000000}">
      <text>
        <r>
          <rPr>
            <sz val="9"/>
            <color indexed="81"/>
            <rFont val="Tahoma"/>
            <family val="2"/>
          </rPr>
          <t>1 cup = 245 g</t>
        </r>
      </text>
    </comment>
    <comment ref="P29" authorId="0" shapeId="0" xr:uid="{00000000-0006-0000-0200-000009000000}">
      <text>
        <r>
          <rPr>
            <sz val="9"/>
            <color indexed="81"/>
            <rFont val="Tahoma"/>
            <family val="2"/>
          </rPr>
          <t>1 cup = 245 g</t>
        </r>
      </text>
    </comment>
    <comment ref="T30" authorId="0" shapeId="0" xr:uid="{00000000-0006-0000-0200-00000A000000}">
      <text>
        <r>
          <rPr>
            <sz val="9"/>
            <color indexed="81"/>
            <rFont val="Tahoma"/>
            <family val="2"/>
          </rPr>
          <t>1 cup = 237 g</t>
        </r>
      </text>
    </comment>
    <comment ref="X30" authorId="0" shapeId="0" xr:uid="{00000000-0006-0000-0200-00000B000000}">
      <text>
        <r>
          <rPr>
            <sz val="9"/>
            <color indexed="81"/>
            <rFont val="Tahoma"/>
            <family val="2"/>
          </rPr>
          <t>1 cup = 237 g</t>
        </r>
      </text>
    </comment>
    <comment ref="AB30" authorId="0" shapeId="0" xr:uid="{00000000-0006-0000-0200-00000C000000}">
      <text>
        <r>
          <rPr>
            <sz val="9"/>
            <color indexed="81"/>
            <rFont val="Tahoma"/>
            <family val="2"/>
          </rPr>
          <t>1 cup = 237 g</t>
        </r>
      </text>
    </comment>
    <comment ref="L37" authorId="0" shapeId="0" xr:uid="{00000000-0006-0000-0200-00000D000000}">
      <text>
        <r>
          <rPr>
            <sz val="9"/>
            <color indexed="81"/>
            <rFont val="Tahoma"/>
            <family val="2"/>
          </rPr>
          <t>1 slice = 26 g</t>
        </r>
      </text>
    </comment>
    <comment ref="L38" authorId="0" shapeId="0" xr:uid="{00000000-0006-0000-0200-00000E000000}">
      <text>
        <r>
          <rPr>
            <sz val="9"/>
            <color indexed="81"/>
            <rFont val="Tahoma"/>
            <family val="2"/>
          </rPr>
          <t>1 serving,  2 slices = 42 g</t>
        </r>
      </text>
    </comment>
    <comment ref="L39" authorId="0" shapeId="0" xr:uid="{00000000-0006-0000-0200-00000F000000}">
      <text>
        <r>
          <rPr>
            <sz val="9"/>
            <color indexed="81"/>
            <rFont val="Tahoma"/>
            <family val="2"/>
          </rPr>
          <t>1 cup = 251 g</t>
        </r>
      </text>
    </comment>
    <comment ref="L48" authorId="0" shapeId="0" xr:uid="{00000000-0006-0000-0200-000010000000}">
      <text>
        <r>
          <rPr>
            <sz val="9"/>
            <color indexed="81"/>
            <rFont val="Tahoma"/>
            <family val="2"/>
          </rPr>
          <t>5 oz  = 142 g</t>
        </r>
      </text>
    </comment>
    <comment ref="L49" authorId="0" shapeId="0" xr:uid="{00000000-0006-0000-0200-000011000000}">
      <text>
        <r>
          <rPr>
            <sz val="9"/>
            <color indexed="81"/>
            <rFont val="Tahoma"/>
            <family val="2"/>
          </rPr>
          <t>1 cup = 190 g</t>
        </r>
      </text>
    </comment>
    <comment ref="L50" authorId="0" shapeId="0" xr:uid="{00000000-0006-0000-0200-000012000000}">
      <text>
        <r>
          <rPr>
            <sz val="9"/>
            <color indexed="81"/>
            <rFont val="Tahoma"/>
            <family val="2"/>
          </rPr>
          <t>1 cup, chopped = 91 g</t>
        </r>
      </text>
    </comment>
    <comment ref="L59" authorId="0" shapeId="0" xr:uid="{00000000-0006-0000-0200-000013000000}">
      <text>
        <r>
          <rPr>
            <sz val="9"/>
            <color indexed="81"/>
            <rFont val="Tahoma"/>
            <family val="2"/>
          </rPr>
          <t>5 oz  = 142 g</t>
        </r>
      </text>
    </comment>
    <comment ref="L60" authorId="0" shapeId="0" xr:uid="{00000000-0006-0000-0200-000014000000}">
      <text>
        <r>
          <rPr>
            <sz val="9"/>
            <color indexed="81"/>
            <rFont val="Tahoma"/>
            <family val="2"/>
          </rPr>
          <t>1 potato = 130 g</t>
        </r>
      </text>
    </comment>
    <comment ref="L61" authorId="0" shapeId="0" xr:uid="{00000000-0006-0000-0200-000015000000}">
      <text>
        <r>
          <rPr>
            <sz val="9"/>
            <color indexed="81"/>
            <rFont val="Tahoma"/>
            <family val="2"/>
          </rPr>
          <t>1 spear = 12 g</t>
        </r>
      </text>
    </comment>
    <comment ref="X62" authorId="0" shapeId="0" xr:uid="{00000000-0006-0000-0200-000016000000}">
      <text>
        <r>
          <rPr>
            <sz val="9"/>
            <color indexed="81"/>
            <rFont val="Tahoma"/>
            <family val="2"/>
          </rPr>
          <t>1 cup, ground = 95 g</t>
        </r>
      </text>
    </comment>
    <comment ref="L70" authorId="0" shapeId="0" xr:uid="{00000000-0006-0000-0200-000017000000}">
      <text>
        <r>
          <rPr>
            <sz val="9"/>
            <color indexed="81"/>
            <rFont val="Tahoma"/>
            <family val="2"/>
          </rPr>
          <t>.5 cup,  (1 NLEA serving) = 48 g</t>
        </r>
      </text>
    </comment>
    <comment ref="AB74" authorId="0" shapeId="0" xr:uid="{00000000-0006-0000-0200-000018000000}">
      <text>
        <r>
          <rPr>
            <sz val="9"/>
            <color indexed="81"/>
            <rFont val="Tahoma"/>
            <family val="2"/>
          </rPr>
          <t>1 cup = 237 g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Dave</author>
  </authors>
  <commentList>
    <comment ref="L4" authorId="0" shapeId="0" xr:uid="{00000000-0006-0000-0300-000001000000}">
      <text>
        <r>
          <rPr>
            <sz val="9"/>
            <color indexed="81"/>
            <rFont val="Tahoma"/>
            <family val="2"/>
          </rPr>
          <t>1 potato = 130 g</t>
        </r>
      </text>
    </comment>
    <comment ref="L5" authorId="0" shapeId="0" xr:uid="{00000000-0006-0000-0300-000002000000}">
      <text>
        <r>
          <rPr>
            <sz val="9"/>
            <color indexed="81"/>
            <rFont val="Tahoma"/>
            <family val="2"/>
          </rPr>
          <t>1 scoop = 30 g</t>
        </r>
      </text>
    </comment>
    <comment ref="L6" authorId="0" shapeId="0" xr:uid="{00000000-0006-0000-0300-000003000000}">
      <text>
        <r>
          <rPr>
            <sz val="9"/>
            <color indexed="81"/>
            <rFont val="Tahoma"/>
            <family val="2"/>
          </rPr>
          <t>1 Large = 56 g</t>
        </r>
      </text>
    </comment>
    <comment ref="L7" authorId="0" shapeId="0" xr:uid="{00000000-0006-0000-0300-000004000000}">
      <text>
        <r>
          <rPr>
            <sz val="9"/>
            <color indexed="81"/>
            <rFont val="Tahoma"/>
            <family val="2"/>
          </rPr>
          <t>1/2 cup = 122 g</t>
        </r>
      </text>
    </comment>
    <comment ref="L8" authorId="0" shapeId="0" xr:uid="{00000000-0006-0000-0300-000005000000}">
      <text>
        <r>
          <rPr>
            <sz val="9"/>
            <color indexed="81"/>
            <rFont val="Tahoma"/>
            <family val="2"/>
          </rPr>
          <t>.5 cup,  (1 NLEA serving) = 40 g</t>
        </r>
      </text>
    </comment>
    <comment ref="L15" authorId="0" shapeId="0" xr:uid="{00000000-0006-0000-0300-000006000000}">
      <text>
        <r>
          <rPr>
            <sz val="9"/>
            <color indexed="81"/>
            <rFont val="Tahoma"/>
            <family val="2"/>
          </rPr>
          <t>5 oz  = 142 g</t>
        </r>
      </text>
    </comment>
    <comment ref="L16" authorId="0" shapeId="0" xr:uid="{00000000-0006-0000-0300-000007000000}">
      <text>
        <r>
          <rPr>
            <sz val="9"/>
            <color indexed="81"/>
            <rFont val="Tahoma"/>
            <family val="2"/>
          </rPr>
          <t>1 cup = 190 g</t>
        </r>
      </text>
    </comment>
    <comment ref="L17" authorId="0" shapeId="0" xr:uid="{00000000-0006-0000-0300-000008000000}">
      <text>
        <r>
          <rPr>
            <sz val="9"/>
            <color indexed="81"/>
            <rFont val="Tahoma"/>
            <family val="2"/>
          </rPr>
          <t>1 cup = 110 g</t>
        </r>
      </text>
    </comment>
    <comment ref="L18" authorId="0" shapeId="0" xr:uid="{00000000-0006-0000-0300-000009000000}">
      <text>
        <r>
          <rPr>
            <sz val="9"/>
            <color indexed="81"/>
            <rFont val="Tahoma"/>
            <family val="2"/>
          </rPr>
          <t>1 cup, ground = 95 g</t>
        </r>
      </text>
    </comment>
    <comment ref="P18" authorId="0" shapeId="0" xr:uid="{00000000-0006-0000-0300-00000A000000}">
      <text>
        <r>
          <rPr>
            <sz val="9"/>
            <color indexed="81"/>
            <rFont val="Tahoma"/>
            <family val="2"/>
          </rPr>
          <t>1 cup, ground = 95 g</t>
        </r>
      </text>
    </comment>
    <comment ref="T18" authorId="0" shapeId="0" xr:uid="{00000000-0006-0000-0300-00000B000000}">
      <text>
        <r>
          <rPr>
            <sz val="9"/>
            <color indexed="81"/>
            <rFont val="Tahoma"/>
            <family val="2"/>
          </rPr>
          <t>1 cup, ground = 95 g</t>
        </r>
      </text>
    </comment>
    <comment ref="X18" authorId="0" shapeId="0" xr:uid="{00000000-0006-0000-0300-00000C000000}">
      <text>
        <r>
          <rPr>
            <sz val="9"/>
            <color indexed="81"/>
            <rFont val="Tahoma"/>
            <family val="2"/>
          </rPr>
          <t>1 cup, ground = 95 g</t>
        </r>
      </text>
    </comment>
    <comment ref="AB18" authorId="0" shapeId="0" xr:uid="{00000000-0006-0000-0300-00000D000000}">
      <text>
        <r>
          <rPr>
            <sz val="9"/>
            <color indexed="81"/>
            <rFont val="Tahoma"/>
            <family val="2"/>
          </rPr>
          <t>1 cup, ground = 95 g</t>
        </r>
      </text>
    </comment>
    <comment ref="L26" authorId="0" shapeId="0" xr:uid="{00000000-0006-0000-0300-00000E000000}">
      <text>
        <r>
          <rPr>
            <sz val="9"/>
            <color indexed="81"/>
            <rFont val="Tahoma"/>
            <family val="2"/>
          </rPr>
          <t>1 cup, solid or chunks = 154 g</t>
        </r>
      </text>
    </comment>
    <comment ref="P26" authorId="0" shapeId="0" xr:uid="{00000000-0006-0000-0300-00000F000000}">
      <text>
        <r>
          <rPr>
            <sz val="9"/>
            <color indexed="81"/>
            <rFont val="Tahoma"/>
            <family val="2"/>
          </rPr>
          <t>1 cup, solid or chunks = 154 g</t>
        </r>
      </text>
    </comment>
    <comment ref="T26" authorId="0" shapeId="0" xr:uid="{00000000-0006-0000-0300-000010000000}">
      <text>
        <r>
          <rPr>
            <sz val="9"/>
            <color indexed="81"/>
            <rFont val="Tahoma"/>
            <family val="2"/>
          </rPr>
          <t>1 cup, solid or chunks = 154 g</t>
        </r>
      </text>
    </comment>
    <comment ref="AB26" authorId="0" shapeId="0" xr:uid="{00000000-0006-0000-0300-000011000000}">
      <text>
        <r>
          <rPr>
            <sz val="9"/>
            <color indexed="81"/>
            <rFont val="Tahoma"/>
            <family val="2"/>
          </rPr>
          <t>1 cup, solid or chunks = 154 g</t>
        </r>
      </text>
    </comment>
    <comment ref="L27" authorId="0" shapeId="0" xr:uid="{00000000-0006-0000-0300-000012000000}">
      <text>
        <r>
          <rPr>
            <sz val="9"/>
            <color indexed="81"/>
            <rFont val="Tahoma"/>
            <family val="2"/>
          </rPr>
          <t>1 slice = 26 g</t>
        </r>
      </text>
    </comment>
    <comment ref="P27" authorId="0" shapeId="0" xr:uid="{00000000-0006-0000-0300-000013000000}">
      <text>
        <r>
          <rPr>
            <sz val="9"/>
            <color indexed="81"/>
            <rFont val="Tahoma"/>
            <family val="2"/>
          </rPr>
          <t>1 slice = 26 g</t>
        </r>
      </text>
    </comment>
    <comment ref="T27" authorId="0" shapeId="0" xr:uid="{00000000-0006-0000-0300-000014000000}">
      <text>
        <r>
          <rPr>
            <sz val="9"/>
            <color indexed="81"/>
            <rFont val="Tahoma"/>
            <family val="2"/>
          </rPr>
          <t>1 slice = 26 g</t>
        </r>
      </text>
    </comment>
    <comment ref="AB27" authorId="0" shapeId="0" xr:uid="{00000000-0006-0000-0300-000015000000}">
      <text>
        <r>
          <rPr>
            <sz val="9"/>
            <color indexed="81"/>
            <rFont val="Tahoma"/>
            <family val="2"/>
          </rPr>
          <t>1 slice = 26 g</t>
        </r>
      </text>
    </comment>
    <comment ref="L28" authorId="0" shapeId="0" xr:uid="{00000000-0006-0000-0300-000016000000}">
      <text>
        <r>
          <rPr>
            <sz val="9"/>
            <color indexed="81"/>
            <rFont val="Tahoma"/>
            <family val="2"/>
          </rPr>
          <t>1 tbsp = 16 g</t>
        </r>
      </text>
    </comment>
    <comment ref="P28" authorId="0" shapeId="0" xr:uid="{00000000-0006-0000-0300-000017000000}">
      <text>
        <r>
          <rPr>
            <sz val="9"/>
            <color indexed="81"/>
            <rFont val="Tahoma"/>
            <family val="2"/>
          </rPr>
          <t>1 tbsp = 16 g</t>
        </r>
      </text>
    </comment>
    <comment ref="T28" authorId="0" shapeId="0" xr:uid="{00000000-0006-0000-0300-000018000000}">
      <text>
        <r>
          <rPr>
            <sz val="9"/>
            <color indexed="81"/>
            <rFont val="Tahoma"/>
            <family val="2"/>
          </rPr>
          <t>1 tbsp = 16 g</t>
        </r>
      </text>
    </comment>
    <comment ref="AB28" authorId="0" shapeId="0" xr:uid="{00000000-0006-0000-0300-000019000000}">
      <text>
        <r>
          <rPr>
            <sz val="9"/>
            <color indexed="81"/>
            <rFont val="Tahoma"/>
            <family val="2"/>
          </rPr>
          <t>1 tbsp = 16 g</t>
        </r>
      </text>
    </comment>
    <comment ref="L29" authorId="0" shapeId="0" xr:uid="{00000000-0006-0000-0300-00001A000000}">
      <text>
        <r>
          <rPr>
            <sz val="9"/>
            <color indexed="81"/>
            <rFont val="Tahoma"/>
            <family val="2"/>
          </rPr>
          <t>1 cup, quartered or chopped = 125 g</t>
        </r>
      </text>
    </comment>
    <comment ref="P29" authorId="0" shapeId="0" xr:uid="{00000000-0006-0000-0300-00001B000000}">
      <text>
        <r>
          <rPr>
            <sz val="9"/>
            <color indexed="81"/>
            <rFont val="Tahoma"/>
            <family val="2"/>
          </rPr>
          <t>1 cup, quartered or chopped = 125 g</t>
        </r>
      </text>
    </comment>
    <comment ref="T29" authorId="0" shapeId="0" xr:uid="{00000000-0006-0000-0300-00001C000000}">
      <text>
        <r>
          <rPr>
            <sz val="9"/>
            <color indexed="81"/>
            <rFont val="Tahoma"/>
            <family val="2"/>
          </rPr>
          <t>1 cup, quartered or chopped = 125 g</t>
        </r>
      </text>
    </comment>
    <comment ref="AB29" authorId="0" shapeId="0" xr:uid="{00000000-0006-0000-0300-00001D000000}">
      <text>
        <r>
          <rPr>
            <sz val="9"/>
            <color indexed="81"/>
            <rFont val="Tahoma"/>
            <family val="2"/>
          </rPr>
          <t>1 cup, quartered or chopped = 125 g</t>
        </r>
      </text>
    </comment>
    <comment ref="L30" authorId="0" shapeId="0" xr:uid="{00000000-0006-0000-0300-00001E000000}">
      <text>
        <r>
          <rPr>
            <sz val="9"/>
            <color indexed="81"/>
            <rFont val="Tahoma"/>
            <family val="2"/>
          </rPr>
          <t>1 cup = 147 g</t>
        </r>
      </text>
    </comment>
    <comment ref="P30" authorId="0" shapeId="0" xr:uid="{00000000-0006-0000-0300-00001F000000}">
      <text>
        <r>
          <rPr>
            <sz val="9"/>
            <color indexed="81"/>
            <rFont val="Tahoma"/>
            <family val="2"/>
          </rPr>
          <t>1 cup = 147 g</t>
        </r>
      </text>
    </comment>
    <comment ref="T30" authorId="0" shapeId="0" xr:uid="{00000000-0006-0000-0300-000020000000}">
      <text>
        <r>
          <rPr>
            <sz val="9"/>
            <color indexed="81"/>
            <rFont val="Tahoma"/>
            <family val="2"/>
          </rPr>
          <t>1 cup = 147 g</t>
        </r>
      </text>
    </comment>
    <comment ref="AB30" authorId="0" shapeId="0" xr:uid="{00000000-0006-0000-0300-000021000000}">
      <text>
        <r>
          <rPr>
            <sz val="9"/>
            <color indexed="81"/>
            <rFont val="Tahoma"/>
            <family val="2"/>
          </rPr>
          <t>1 cup = 147 g</t>
        </r>
      </text>
    </comment>
    <comment ref="L31" authorId="0" shapeId="0" xr:uid="{00000000-0006-0000-0300-000022000000}">
      <text>
        <r>
          <rPr>
            <sz val="9"/>
            <color indexed="81"/>
            <rFont val="Tahoma"/>
            <family val="2"/>
          </rPr>
          <t>1 cup = 146 g</t>
        </r>
      </text>
    </comment>
    <comment ref="P31" authorId="0" shapeId="0" xr:uid="{00000000-0006-0000-0300-000023000000}">
      <text>
        <r>
          <rPr>
            <sz val="9"/>
            <color indexed="81"/>
            <rFont val="Tahoma"/>
            <family val="2"/>
          </rPr>
          <t>1 cup = 146 g</t>
        </r>
      </text>
    </comment>
    <comment ref="T31" authorId="0" shapeId="0" xr:uid="{00000000-0006-0000-0300-000024000000}">
      <text>
        <r>
          <rPr>
            <sz val="9"/>
            <color indexed="81"/>
            <rFont val="Tahoma"/>
            <family val="2"/>
          </rPr>
          <t>1 cup = 146 g</t>
        </r>
      </text>
    </comment>
    <comment ref="AB31" authorId="0" shapeId="0" xr:uid="{00000000-0006-0000-0300-000025000000}">
      <text>
        <r>
          <rPr>
            <sz val="9"/>
            <color indexed="81"/>
            <rFont val="Tahoma"/>
            <family val="2"/>
          </rPr>
          <t>1 cup = 146 g</t>
        </r>
      </text>
    </comment>
    <comment ref="T32" authorId="0" shapeId="0" xr:uid="{00000000-0006-0000-0300-000026000000}">
      <text>
        <r>
          <rPr>
            <sz val="9"/>
            <color indexed="81"/>
            <rFont val="Tahoma"/>
            <family val="2"/>
          </rPr>
          <t>1 cup = 146 g</t>
        </r>
      </text>
    </comment>
    <comment ref="L39" authorId="0" shapeId="0" xr:uid="{00000000-0006-0000-0300-000027000000}">
      <text>
        <r>
          <rPr>
            <sz val="9"/>
            <color indexed="81"/>
            <rFont val="Tahoma"/>
            <family val="2"/>
          </rPr>
          <t>1 cup = 244 g</t>
        </r>
      </text>
    </comment>
    <comment ref="L40" authorId="0" shapeId="0" xr:uid="{00000000-0006-0000-0300-000028000000}">
      <text>
        <r>
          <rPr>
            <sz val="9"/>
            <color indexed="81"/>
            <rFont val="Tahoma"/>
            <family val="2"/>
          </rPr>
          <t>1 cup = 123 g</t>
        </r>
      </text>
    </comment>
    <comment ref="L48" authorId="0" shapeId="0" xr:uid="{00000000-0006-0000-0300-000029000000}">
      <text>
        <r>
          <rPr>
            <sz val="9"/>
            <color indexed="81"/>
            <rFont val="Tahoma"/>
            <family val="2"/>
          </rPr>
          <t>1 potato = 130 g</t>
        </r>
      </text>
    </comment>
    <comment ref="X48" authorId="0" shapeId="0" xr:uid="{00000000-0006-0000-0300-00002A000000}">
      <text>
        <r>
          <rPr>
            <sz val="9"/>
            <color indexed="81"/>
            <rFont val="Tahoma"/>
            <family val="2"/>
          </rPr>
          <t>1 potato = 130 g</t>
        </r>
      </text>
    </comment>
    <comment ref="L49" authorId="0" shapeId="0" xr:uid="{00000000-0006-0000-0300-00002B000000}">
      <text>
        <r>
          <rPr>
            <sz val="9"/>
            <color indexed="81"/>
            <rFont val="Tahoma"/>
            <family val="2"/>
          </rPr>
          <t>1 spear = 12 g</t>
        </r>
      </text>
    </comment>
    <comment ref="X49" authorId="0" shapeId="0" xr:uid="{00000000-0006-0000-0300-00002C000000}">
      <text>
        <r>
          <rPr>
            <sz val="9"/>
            <color indexed="81"/>
            <rFont val="Tahoma"/>
            <family val="2"/>
          </rPr>
          <t>1 spear = 12 g</t>
        </r>
      </text>
    </comment>
    <comment ref="L50" authorId="0" shapeId="0" xr:uid="{00000000-0006-0000-0300-00002D000000}">
      <text>
        <r>
          <rPr>
            <sz val="9"/>
            <color indexed="81"/>
            <rFont val="Tahoma"/>
            <family val="2"/>
          </rPr>
          <t>1 cup, shredded = 47 g</t>
        </r>
      </text>
    </comment>
    <comment ref="X50" authorId="0" shapeId="0" xr:uid="{00000000-0006-0000-0300-00002E000000}">
      <text>
        <r>
          <rPr>
            <sz val="9"/>
            <color indexed="81"/>
            <rFont val="Tahoma"/>
            <family val="2"/>
          </rPr>
          <t>1 cup, shredded = 47 g</t>
        </r>
      </text>
    </comment>
    <comment ref="L51" authorId="0" shapeId="0" xr:uid="{00000000-0006-0000-0300-00002F000000}">
      <text>
        <r>
          <rPr>
            <sz val="9"/>
            <color indexed="81"/>
            <rFont val="Tahoma"/>
            <family val="2"/>
          </rPr>
          <t>1 tbsp = 15 g</t>
        </r>
      </text>
    </comment>
    <comment ref="X51" authorId="0" shapeId="0" xr:uid="{00000000-0006-0000-0300-000030000000}">
      <text>
        <r>
          <rPr>
            <sz val="9"/>
            <color indexed="81"/>
            <rFont val="Tahoma"/>
            <family val="2"/>
          </rPr>
          <t>1 tbsp = 15 g</t>
        </r>
      </text>
    </comment>
    <comment ref="L52" authorId="0" shapeId="0" xr:uid="{00000000-0006-0000-0300-000031000000}">
      <text>
        <r>
          <rPr>
            <sz val="9"/>
            <color indexed="81"/>
            <rFont val="Tahoma"/>
            <family val="2"/>
          </rPr>
          <t>1/2 lb = 228 g</t>
        </r>
      </text>
    </comment>
    <comment ref="X52" authorId="0" shapeId="0" xr:uid="{00000000-0006-0000-0300-000032000000}">
      <text>
        <r>
          <rPr>
            <sz val="9"/>
            <color indexed="81"/>
            <rFont val="Tahoma"/>
            <family val="2"/>
          </rPr>
          <t>1/2 lb = 228 g</t>
        </r>
      </text>
    </comment>
    <comment ref="L59" authorId="0" shapeId="0" xr:uid="{00000000-0006-0000-0300-000033000000}">
      <text>
        <r>
          <rPr>
            <sz val="9"/>
            <color indexed="81"/>
            <rFont val="Tahoma"/>
            <family val="2"/>
          </rPr>
          <t>1/2 cup = 113 g</t>
        </r>
      </text>
    </comment>
    <comment ref="L60" authorId="0" shapeId="0" xr:uid="{00000000-0006-0000-0300-000034000000}">
      <text>
        <r>
          <rPr>
            <sz val="9"/>
            <color indexed="81"/>
            <rFont val="Tahoma"/>
            <family val="2"/>
          </rPr>
          <t>1/4 lb = 114 g</t>
        </r>
      </text>
    </comment>
    <comment ref="L61" authorId="0" shapeId="0" xr:uid="{00000000-0006-0000-0300-000035000000}">
      <text>
        <r>
          <rPr>
            <sz val="9"/>
            <color indexed="81"/>
            <rFont val="Tahoma"/>
            <family val="2"/>
          </rPr>
          <t>1 cup = 190 g</t>
        </r>
      </text>
    </comment>
    <comment ref="L70" authorId="0" shapeId="0" xr:uid="{00000000-0006-0000-0300-000036000000}">
      <text>
        <r>
          <rPr>
            <sz val="9"/>
            <color indexed="81"/>
            <rFont val="Tahoma"/>
            <family val="2"/>
          </rPr>
          <t>1 scoop = 30 g</t>
        </r>
      </text>
    </comment>
    <comment ref="L71" authorId="0" shapeId="0" xr:uid="{00000000-0006-0000-0300-000037000000}">
      <text>
        <r>
          <rPr>
            <sz val="9"/>
            <color indexed="81"/>
            <rFont val="Tahoma"/>
            <family val="2"/>
          </rPr>
          <t>1 cup = 245 g</t>
        </r>
      </text>
    </comment>
    <comment ref="L72" authorId="0" shapeId="0" xr:uid="{00000000-0006-0000-0300-000038000000}">
      <text>
        <r>
          <rPr>
            <sz val="9"/>
            <color indexed="81"/>
            <rFont val="Tahoma"/>
            <family val="2"/>
          </rPr>
          <t>1 cup,  halves = 152 g</t>
        </r>
      </text>
    </comment>
    <comment ref="P72" authorId="0" shapeId="0" xr:uid="{00000000-0006-0000-0300-000039000000}">
      <text>
        <r>
          <rPr>
            <sz val="9"/>
            <color indexed="81"/>
            <rFont val="Tahoma"/>
            <family val="2"/>
          </rPr>
          <t>1 cup,  halves = 152 g</t>
        </r>
      </text>
    </comment>
    <comment ref="L73" authorId="0" shapeId="0" xr:uid="{00000000-0006-0000-0300-00003A000000}">
      <text>
        <r>
          <rPr>
            <sz val="9"/>
            <color indexed="81"/>
            <rFont val="Tahoma"/>
            <family val="2"/>
          </rPr>
          <t>1 banana = 118 g</t>
        </r>
      </text>
    </comment>
    <comment ref="L74" authorId="0" shapeId="0" xr:uid="{00000000-0006-0000-0300-00003B000000}">
      <text>
        <r>
          <rPr>
            <sz val="9"/>
            <color indexed="81"/>
            <rFont val="Tahoma"/>
            <family val="2"/>
          </rPr>
          <t>10 small = 11 g</t>
        </r>
      </text>
    </comment>
    <comment ref="L75" authorId="0" shapeId="0" xr:uid="{00000000-0006-0000-0300-00003C000000}">
      <text>
        <r>
          <rPr>
            <sz val="9"/>
            <color indexed="81"/>
            <rFont val="Tahoma"/>
            <family val="2"/>
          </rPr>
          <t>1 cup = 258 g</t>
        </r>
      </text>
    </comment>
  </commentList>
</comments>
</file>

<file path=xl/sharedStrings.xml><?xml version="1.0" encoding="utf-8"?>
<sst xmlns="http://schemas.openxmlformats.org/spreadsheetml/2006/main" count="5318" uniqueCount="1487">
  <si>
    <t>SAUCE,WORCESTERSHIRE</t>
  </si>
  <si>
    <t xml:space="preserve">Sex: </t>
  </si>
  <si>
    <t xml:space="preserve">Calorie Target: </t>
  </si>
  <si>
    <t xml:space="preserve">Height: </t>
  </si>
  <si>
    <t xml:space="preserve">Weight: </t>
  </si>
  <si>
    <t xml:space="preserve">Age: </t>
  </si>
  <si>
    <t xml:space="preserve"> years</t>
  </si>
  <si>
    <t xml:space="preserve"> calories</t>
  </si>
  <si>
    <t>Macronutrient %</t>
  </si>
  <si>
    <t xml:space="preserve">Carbs: </t>
  </si>
  <si>
    <t xml:space="preserve">Protein: </t>
  </si>
  <si>
    <t xml:space="preserve">Fat: </t>
  </si>
  <si>
    <t>→</t>
  </si>
  <si>
    <t>Foodgroups</t>
  </si>
  <si>
    <t>SALAMI,COOKED,TURKEY</t>
  </si>
  <si>
    <t>SALAMI,DRY OR HARD,PORK</t>
  </si>
  <si>
    <t>3 slices,  1 serving</t>
  </si>
  <si>
    <t>SMOKED LINK SAUSAGE,PORK</t>
  </si>
  <si>
    <t>HONEY ROLL SAUSAGE,BEEF</t>
  </si>
  <si>
    <t>Harris Benedict Factors</t>
  </si>
  <si>
    <t>Level of Activity</t>
  </si>
  <si>
    <t>factor</t>
  </si>
  <si>
    <t xml:space="preserve">Goal: </t>
  </si>
  <si>
    <t>GUINEA HEN,MEAT&amp;SKN,RAW</t>
  </si>
  <si>
    <t>GUINEA HEN,MEAT ONLY,RAW</t>
  </si>
  <si>
    <t>PHEASANT,RAW,MEAT&amp;SKN</t>
  </si>
  <si>
    <t>QUAIL,MEAT AND SKIN,RAW</t>
  </si>
  <si>
    <t>1 quail</t>
  </si>
  <si>
    <t>Dairy/Eggs</t>
  </si>
  <si>
    <t>Salad Dressing, Oil, Fats</t>
  </si>
  <si>
    <t>SHORTENING</t>
  </si>
  <si>
    <t>Soups and Sauces</t>
  </si>
  <si>
    <t>Processed Meat</t>
  </si>
  <si>
    <t>Pasta &amp; Rice</t>
  </si>
  <si>
    <t>Vegetables</t>
  </si>
  <si>
    <t>Fruit</t>
  </si>
  <si>
    <t>Nuts &amp; Seeds</t>
  </si>
  <si>
    <t>Meat (Lamb, Beef, Venison, etc)</t>
  </si>
  <si>
    <t>Fish &amp; Seafood</t>
  </si>
  <si>
    <t>MACKEREL,RAW</t>
  </si>
  <si>
    <t>Snacks &amp; Sweets</t>
  </si>
  <si>
    <t>Cereals</t>
  </si>
  <si>
    <t>Bread/Breakfast Carbs</t>
  </si>
  <si>
    <t>CREAM,SOUR,REDUCED FAT</t>
  </si>
  <si>
    <t>CREAM,SOUR</t>
  </si>
  <si>
    <t xml:space="preserve">MILK,WHOLE,3.25% </t>
  </si>
  <si>
    <t>MILK,LOWFAT, 2%</t>
  </si>
  <si>
    <t>MILK,BTTRMLK,</t>
  </si>
  <si>
    <t>MILK,CHOCOLATE</t>
  </si>
  <si>
    <t>MILK,CHOCOLATE LOWFAT</t>
  </si>
  <si>
    <t>MILK,GOAT</t>
  </si>
  <si>
    <t>YOGURT,PLAIN,WHL MILK</t>
  </si>
  <si>
    <t>CREAM,HALF AND HALF</t>
  </si>
  <si>
    <t>SALAD DRSNG,1000 ISLAND</t>
  </si>
  <si>
    <t>OIL, VEGETABLE</t>
  </si>
  <si>
    <t>OIL,SOYBEAN</t>
  </si>
  <si>
    <t>OIL,COCONUT</t>
  </si>
  <si>
    <t>MARGARINE,REGULAR</t>
  </si>
  <si>
    <t>OIL,VEG SAFFLOWER</t>
  </si>
  <si>
    <t>OIL,VEG,CORN</t>
  </si>
  <si>
    <t>CHICKEN,GIBLETS,RAW</t>
  </si>
  <si>
    <t>CHICKEN BREAST,MEAT&amp;SKN,RAW</t>
  </si>
  <si>
    <t>CHICKEN DRUMSTK,MEAT&amp;SKN,RAW</t>
  </si>
  <si>
    <t>CHICKEN NECK,MEAT&amp;SKN,RAW</t>
  </si>
  <si>
    <t>CHICKEN THIGH,MEAT&amp;SKN,RAW</t>
  </si>
  <si>
    <t>CHICKEN WING,MEAT&amp;SKN,RAW</t>
  </si>
  <si>
    <t>TURKEY BREAST,MEAT&amp;SKN,RAW</t>
  </si>
  <si>
    <t>TURKEY LEG,MEAT&amp;SKN,RAW</t>
  </si>
  <si>
    <t>TURKEY WING,MEAT&amp;SKN,RAW</t>
  </si>
  <si>
    <t>SOUP,CREAM OF ASPARAGUS</t>
  </si>
  <si>
    <t>.667 cup,  (1 NLEA serving)</t>
  </si>
  <si>
    <t>QUAIL,MEAT ONLY,RAW</t>
  </si>
  <si>
    <t>QUAIL,BREAST,MEAT ONLY,RAW</t>
  </si>
  <si>
    <t>1 breast</t>
  </si>
  <si>
    <t>1 cup,  drained</t>
  </si>
  <si>
    <t>1 bar</t>
  </si>
  <si>
    <t>1 fruit, without refuse</t>
  </si>
  <si>
    <t>1 cup, quartered or chopped</t>
  </si>
  <si>
    <t>1 cup, slices</t>
  </si>
  <si>
    <t>APRICOTS,RAW</t>
  </si>
  <si>
    <t>1 cup,  halves</t>
  </si>
  <si>
    <t>CHICKEN,CANNED,NO BROTH</t>
  </si>
  <si>
    <t>3 oz</t>
  </si>
  <si>
    <t>EMU,GROUND,RAW</t>
  </si>
  <si>
    <t>1 patty</t>
  </si>
  <si>
    <t>1 steak</t>
  </si>
  <si>
    <t>EMU,FLAT FILLET,RAW</t>
  </si>
  <si>
    <t>1 flat fillet</t>
  </si>
  <si>
    <t>EMU,FULL RUMP,RAW</t>
  </si>
  <si>
    <t>1 full rump</t>
  </si>
  <si>
    <t>EMU,INSIDE DRUM,RAW</t>
  </si>
  <si>
    <t>1 inside drum</t>
  </si>
  <si>
    <t>OSTRICH,GROUND,RAW</t>
  </si>
  <si>
    <t>OSTRICH,FAN,RAW</t>
  </si>
  <si>
    <t>OSTRICH,INSIDE LEG,RAW</t>
  </si>
  <si>
    <t>1 serving, 1/2 cup</t>
  </si>
  <si>
    <t>1 serving, 1 cup</t>
  </si>
  <si>
    <t>1 packet</t>
  </si>
  <si>
    <t>1 serving, 1 tbsp</t>
  </si>
  <si>
    <t>Protein</t>
  </si>
  <si>
    <t>BUTTER,WITH SALT</t>
  </si>
  <si>
    <t>1 cup</t>
  </si>
  <si>
    <t>1 tbsp</t>
  </si>
  <si>
    <t>CHEESE,BLUE</t>
  </si>
  <si>
    <t>1 oz</t>
  </si>
  <si>
    <t>1 cubic inch</t>
  </si>
  <si>
    <t>1 cup, diced</t>
  </si>
  <si>
    <t>1 cup, shredded</t>
  </si>
  <si>
    <t>CHEESE,BRIE</t>
  </si>
  <si>
    <t>1 cup, sliced</t>
  </si>
  <si>
    <t>PORK,CURED,BACON,RAW</t>
  </si>
  <si>
    <t>PORK,CURED,FEET,PICKLED</t>
  </si>
  <si>
    <t>PORK,CURED,SALT PORK,RAW</t>
  </si>
  <si>
    <t>8 oz</t>
  </si>
  <si>
    <t>2 oz</t>
  </si>
  <si>
    <t>BEERWURST,BEER SALAMI,PORK</t>
  </si>
  <si>
    <t>3.527 oz</t>
  </si>
  <si>
    <t>BOLOGNA,PORK</t>
  </si>
  <si>
    <t>BOLOGNA  TURKEY</t>
  </si>
  <si>
    <t>1 link, cooked</t>
  </si>
  <si>
    <t>Meso-Endo</t>
  </si>
  <si>
    <t>Meso-Endo - Plan 1</t>
  </si>
  <si>
    <t>Meso-Endo - Plan 2</t>
  </si>
  <si>
    <t>Meso-Endo - Plan 3</t>
  </si>
  <si>
    <t>Meso-Endo - Plan 4</t>
  </si>
  <si>
    <t>Meso-Endo - Plan 5</t>
  </si>
  <si>
    <t>1 link</t>
  </si>
  <si>
    <t>2 slices,  (1 serving)</t>
  </si>
  <si>
    <t>CHORIZO,PORK AND BEEF</t>
  </si>
  <si>
    <t>CORNED BEEF LOAF,JELLIED</t>
  </si>
  <si>
    <t>2 slices</t>
  </si>
  <si>
    <t>1 frankfurter</t>
  </si>
  <si>
    <t>FRANKFURTER,TURKEY</t>
  </si>
  <si>
    <t>1 slice, oval</t>
  </si>
  <si>
    <t>SAUSAGE,ITALIAN,PORK,RAW</t>
  </si>
  <si>
    <t>1 serving,  2 slices</t>
  </si>
  <si>
    <t>LUNCHEON MEAT,BEEF,LOAVED</t>
  </si>
  <si>
    <t>LUNCHEON MEAT,PORK,CANNED</t>
  </si>
  <si>
    <t>LUNCHEON MEAT,PORK,BEEF</t>
  </si>
  <si>
    <t>1 slice,  (1 oz)</t>
  </si>
  <si>
    <t>MORTADELLA,BEEF,PORK</t>
  </si>
  <si>
    <t>OLIVE LOAF,PORK</t>
  </si>
  <si>
    <t>PEPPERONI,PORK,BEEF</t>
  </si>
  <si>
    <t>1 slice, round</t>
  </si>
  <si>
    <t>POLISH SAUSAGE,PORK</t>
  </si>
  <si>
    <t>HAM  HONEY  SMOKED  CKD</t>
  </si>
  <si>
    <t>FRANKFURTER,PORK</t>
  </si>
  <si>
    <t>1 serving,  5 slices</t>
  </si>
  <si>
    <t>.5 cup,  (1 NLEA serving)</t>
  </si>
  <si>
    <t>1 cup,  (1 NLEA serving)</t>
  </si>
  <si>
    <t>1 cup,  ( 1 NLEA serving)</t>
  </si>
  <si>
    <t>.333 cup,  (1 NLEA serving)</t>
  </si>
  <si>
    <t>.75 cup,  (1 NLEA serving)</t>
  </si>
  <si>
    <t>1 serving,  (NLEA serving size = 1.25 cup)</t>
  </si>
  <si>
    <t>1 cup, chopped or diced</t>
  </si>
  <si>
    <t>1 cup, cooked</t>
  </si>
  <si>
    <t>1 packet, prepared</t>
  </si>
  <si>
    <t>PARSLEY,RAW</t>
  </si>
  <si>
    <t>PARSNIPS,RAW</t>
  </si>
  <si>
    <t>PEAS,EDIBLE-PODDED,RAW</t>
  </si>
  <si>
    <t>PEAS,GREEN,RAW</t>
  </si>
  <si>
    <t>1 pepper</t>
  </si>
  <si>
    <t>.666 cup,  (1 NLEA serving)</t>
  </si>
  <si>
    <t>SQUASH,WINTER,ACORN,RAW</t>
  </si>
  <si>
    <t>TARO,RAW</t>
  </si>
  <si>
    <t>TOMATOES,GREEN,RAW</t>
  </si>
  <si>
    <t>1 cup,  cherry tomatoes</t>
  </si>
  <si>
    <t>1 cup, whole</t>
  </si>
  <si>
    <t>1 cup, cubes</t>
  </si>
  <si>
    <t>1 fruit, without skin and seeds</t>
  </si>
  <si>
    <t>BANANAS,RAW</t>
  </si>
  <si>
    <t>BLUEBERRIES,RAW</t>
  </si>
  <si>
    <t>GRAVY,AU JUS,CANNED</t>
  </si>
  <si>
    <t>ENERGY DRINK, SUGAR FREE</t>
  </si>
  <si>
    <t>* CHEESE,RICOTTA</t>
  </si>
  <si>
    <t>* EGG,WHITE,RAW</t>
  </si>
  <si>
    <t>* EGG,WHOLE,RAW</t>
  </si>
  <si>
    <t>Meso-Ecto</t>
  </si>
  <si>
    <t>* MILK, LOWFAT, 1%</t>
  </si>
  <si>
    <t>* MILK, SKIM</t>
  </si>
  <si>
    <t>* YOGURT,PLAIN,SKIM MILK,</t>
  </si>
  <si>
    <t>* FISH OIL</t>
  </si>
  <si>
    <t>* OIL, PEANUT</t>
  </si>
  <si>
    <t>* OIL,OLIVE</t>
  </si>
  <si>
    <t>* OIL,SESAME</t>
  </si>
  <si>
    <t>* OIL,VEG,CANOLA</t>
  </si>
  <si>
    <t>* CHICKEN,GROUND,RAW</t>
  </si>
  <si>
    <t>* TURKEY BREAST,MEAT ONLY,RAW</t>
  </si>
  <si>
    <t>* TURKEY,GROUND,RAW</t>
  </si>
  <si>
    <t>* SAUCE,SALSA</t>
  </si>
  <si>
    <t>* SOUP,BEEF NOODLE</t>
  </si>
  <si>
    <t>* SOUP,BF W/VEG &amp; BARLEY</t>
  </si>
  <si>
    <t>* SOUP,CHICKEN GUMBO</t>
  </si>
  <si>
    <t>* SOUP,CHICKEN NOODLE</t>
  </si>
  <si>
    <t>* SOUP,CHICKEN VEGETABLE</t>
  </si>
  <si>
    <t>* SOUP,CHICKEN W/ RICE</t>
  </si>
  <si>
    <t>* SOUP,MINESTRONE</t>
  </si>
  <si>
    <t>* SOUP,TOMATO</t>
  </si>
  <si>
    <t>* SOUP,TURKEY NOODLE</t>
  </si>
  <si>
    <t>Meal #</t>
  </si>
  <si>
    <t>Meal 2 (Snack)</t>
  </si>
  <si>
    <t>Meal 4 (Snack)</t>
  </si>
  <si>
    <t>Meal 6 (Snack)</t>
  </si>
  <si>
    <t>g / unit</t>
  </si>
  <si>
    <t>cu. In.</t>
  </si>
  <si>
    <t>cu. in.</t>
  </si>
  <si>
    <t>duck</t>
  </si>
  <si>
    <t>pieces</t>
  </si>
  <si>
    <t>strips</t>
  </si>
  <si>
    <t>waterchestnuts</t>
  </si>
  <si>
    <t>crayfish</t>
  </si>
  <si>
    <t>mints</t>
  </si>
  <si>
    <t>small</t>
  </si>
  <si>
    <t>twists</t>
  </si>
  <si>
    <t>* SOUP,TURKEY VEGETABLE</t>
  </si>
  <si>
    <t>* SOUP,VEGETABLE BEEF</t>
  </si>
  <si>
    <t>* HAM,SLICED,EXTRA LEAN</t>
  </si>
  <si>
    <t>* PASTRAMI  BF  98% FAT-FREE</t>
  </si>
  <si>
    <t>* PASTRAMI,TURKEY</t>
  </si>
  <si>
    <t>* TURKEY BREAST MEAT</t>
  </si>
  <si>
    <t>* BREAD,PITA,WHOLE-WHEAT</t>
  </si>
  <si>
    <t>* BREAD,RYE</t>
  </si>
  <si>
    <t>* MACARONI,WHOLE-WHEAT,DRY</t>
  </si>
  <si>
    <t>* RICE,BROWN,MEDIUM-GRAIN,RAW</t>
  </si>
  <si>
    <t>* SPAGHETTI,WHOLE-WHEAT,DRY</t>
  </si>
  <si>
    <t>* APPLES,RAW,WITH SKIN</t>
  </si>
  <si>
    <t>* AVOCADOS,RAW</t>
  </si>
  <si>
    <t>* BLACKBERRIES,RAW</t>
  </si>
  <si>
    <t>* CRANBERRIES,RAW</t>
  </si>
  <si>
    <t>* RASPBERRIES,RAW</t>
  </si>
  <si>
    <t>* STRAWBERRIES,RAW</t>
  </si>
  <si>
    <t>* APPLE JUICE UNSWTND</t>
  </si>
  <si>
    <t>* BLACKBERRY JUICE</t>
  </si>
  <si>
    <t>* CRANBERRY JUICE COCKTAIL</t>
  </si>
  <si>
    <t>* PINEAPPLE JUICE</t>
  </si>
  <si>
    <t>* WATER,BOTTLED,POLAND SPRING</t>
  </si>
  <si>
    <t>* WATER,TAP,DRINKING</t>
  </si>
  <si>
    <t>* ASPARAGUS,RAW</t>
  </si>
  <si>
    <t>* BEANS,GREEN,RAW</t>
  </si>
  <si>
    <t>* BEANS,SNAP,YELLOW</t>
  </si>
  <si>
    <t>* BROCCOLI,RAW</t>
  </si>
  <si>
    <t>* BRUSSELS SPROUTS,RAW</t>
  </si>
  <si>
    <t>* LENTILS,SPROUTED,RAW</t>
  </si>
  <si>
    <t>* LETTUCE,COS OR ROMAINE,RAW</t>
  </si>
  <si>
    <t>* PEPPERS,SWEET GREEN,RAW</t>
  </si>
  <si>
    <t>* PICKLES,DILL OR KOSHER DILL</t>
  </si>
  <si>
    <t>* SPINACH,RAW</t>
  </si>
  <si>
    <t>* SQUASH,WINTER,SPAGHETTI,RAW</t>
  </si>
  <si>
    <t>* SWEET POTATO,RAW</t>
  </si>
  <si>
    <t>* ALMOND BUTTER,PLAIN,WO/SALT</t>
  </si>
  <si>
    <t>* ALMONDS</t>
  </si>
  <si>
    <t>* SESAME SEEDS,WHOLE,DRIED</t>
  </si>
  <si>
    <t>* LAMB,LEG,SIRLOIN HALF,LN,RAW</t>
  </si>
  <si>
    <t>* VEAL,GROUND,RAW</t>
  </si>
  <si>
    <t>* BASS,FRESH H2O,MIXED SP,RAW</t>
  </si>
  <si>
    <t>* CATFISH,CHANNEL,WILD,RAW</t>
  </si>
  <si>
    <t>* COD,RAW</t>
  </si>
  <si>
    <t>* CRAB,ALASKA KING,RAW</t>
  </si>
  <si>
    <t>* FISH,TILAPIA,RAW</t>
  </si>
  <si>
    <t>* HADDOCK,RAW</t>
  </si>
  <si>
    <t>* PIKE,NORTHERN,RAW</t>
  </si>
  <si>
    <t>* SALMON,PINK,RAW</t>
  </si>
  <si>
    <t xml:space="preserve">* TUNA,LT,CND IN H2O,DRAINED </t>
  </si>
  <si>
    <t>* CANDIES,DOVE DK CHOC</t>
  </si>
  <si>
    <t>* CANDIES,SPECIAL DARK CHOC BAR</t>
  </si>
  <si>
    <t>* CRACKERS,MELBA TOAST,RYE</t>
  </si>
  <si>
    <t>* CRACKERS,MELBA TOAST,WHEAT</t>
  </si>
  <si>
    <t>* POPCORN,AIR-POPPED</t>
  </si>
  <si>
    <t>* Muscle Meals Recommended</t>
  </si>
  <si>
    <t>1 can</t>
  </si>
  <si>
    <t>SAUCE,BARBECUE</t>
  </si>
  <si>
    <t>1 serving, 2 tbsp</t>
  </si>
  <si>
    <t>SAUCE,PLUM,READY-TO-SERVE</t>
  </si>
  <si>
    <t>1 package</t>
  </si>
  <si>
    <t>GUAVAS,COMMON,RAW</t>
  </si>
  <si>
    <t>GUAVAS,STRAWBERRY,RAW</t>
  </si>
  <si>
    <t>KUMQUATS,RAW</t>
  </si>
  <si>
    <t>LEMONS,RAW,WITHOUT PEEL</t>
  </si>
  <si>
    <t>1 cup, sections</t>
  </si>
  <si>
    <t>LEMON JUICE,RAW</t>
  </si>
  <si>
    <t>LIMES,RAW</t>
  </si>
  <si>
    <t>LIME JUICE,RAW</t>
  </si>
  <si>
    <t>LITCHIS,RAW</t>
  </si>
  <si>
    <t>1 fruit</t>
  </si>
  <si>
    <t>LONGANS,RAW</t>
  </si>
  <si>
    <t>MANGOS,RAW</t>
  </si>
  <si>
    <t>MELONS,CANTALOUPE,RAW</t>
  </si>
  <si>
    <t>MELONS,CASABA,RAW</t>
  </si>
  <si>
    <t>MELONS,HONEYDEW,RAW</t>
  </si>
  <si>
    <t>1 cup, chunks</t>
  </si>
  <si>
    <t>PLANTAINS,RAW</t>
  </si>
  <si>
    <t>PLUMS,RAW</t>
  </si>
  <si>
    <t>POMEGRANATES,RAW</t>
  </si>
  <si>
    <t>1 pomegranate,  (3-3/8" dia)</t>
  </si>
  <si>
    <t>PRUNE JUICE,CANNED</t>
  </si>
  <si>
    <t>1 cup,  packed</t>
  </si>
  <si>
    <t>RAISINS,SEEDLESS</t>
  </si>
  <si>
    <t>RHUBARB,RAW</t>
  </si>
  <si>
    <t>1 stalk</t>
  </si>
  <si>
    <t>CAULIFLOWER,GREEN,RAW</t>
  </si>
  <si>
    <t>GRAPE LEAVES,RAW</t>
  </si>
  <si>
    <t>PEPPER,BANANA,RAW</t>
  </si>
  <si>
    <t>PEPPERS,JALAPENO,RAW</t>
  </si>
  <si>
    <t>PEPPERS,CHILI,GRN,CND</t>
  </si>
  <si>
    <t>EPAZOTE,RAW</t>
  </si>
  <si>
    <t>FIREWEED,LEAVES,RAW</t>
  </si>
  <si>
    <t>MALABAR SPINACH,COOKED</t>
  </si>
  <si>
    <t>GINKGO NUTS,RAW</t>
  </si>
  <si>
    <t>MACADAMIA NUTS,RAW</t>
  </si>
  <si>
    <t>1 cup, whole or halves</t>
  </si>
  <si>
    <t>PECANS</t>
  </si>
  <si>
    <t>PISTACHIO NUTS,RAW</t>
  </si>
  <si>
    <t>WALNUTS,ENGLISH</t>
  </si>
  <si>
    <t>1 chop</t>
  </si>
  <si>
    <t>PORK,FRESH,GROUND,RAW</t>
  </si>
  <si>
    <t>1 serving,  2 oz</t>
  </si>
  <si>
    <t>1 serving,  2.96 oz</t>
  </si>
  <si>
    <t>SAUSAGE  ITALIAN  SWT  LINKS</t>
  </si>
  <si>
    <t>1 link,  3 oz</t>
  </si>
  <si>
    <t>1 serving,  5 pieces</t>
  </si>
  <si>
    <t>1 serving,  2.33 oz</t>
  </si>
  <si>
    <t>1 serving,  6 slices</t>
  </si>
  <si>
    <t>SALAMI  ITALIAN  PORK</t>
  </si>
  <si>
    <t>SAUSAGE  ITALIAN  TURKEY  SMOKED</t>
  </si>
  <si>
    <t>SAUSAGE  TURKEY  HOT  SMOKED</t>
  </si>
  <si>
    <t>BAMBOO SHOOTS,RAW</t>
  </si>
  <si>
    <t>1 cup,  (1/2" slices)</t>
  </si>
  <si>
    <t>BEETS,RAW</t>
  </si>
  <si>
    <t>BEET GREENS,RAW</t>
  </si>
  <si>
    <t>Meal (Post workout)</t>
  </si>
  <si>
    <t>1.333 cup,  (1 NLEA serving)</t>
  </si>
  <si>
    <t>1.5 cup,  (1 NLEA serving)</t>
  </si>
  <si>
    <t>1.25 cup,  (1 NLEA serving)</t>
  </si>
  <si>
    <t>.75 cup,  ( 1 NLEA serving)</t>
  </si>
  <si>
    <t>1 serving,  (NLEA serving size = 1 cup)</t>
  </si>
  <si>
    <t>1.667 tbsp,  (1 NLEA serving)</t>
  </si>
  <si>
    <t>Load Meals</t>
  </si>
  <si>
    <t>COLLARDS,RAW</t>
  </si>
  <si>
    <t>CORN,SWEET,YELLOW,RAW</t>
  </si>
  <si>
    <t>1 sprig</t>
  </si>
  <si>
    <t>CUCUMBER,WITH PEEL,RAW</t>
  </si>
  <si>
    <t>CUCUMBER,PEELED,RAW</t>
  </si>
  <si>
    <t>EGGPLANT,RAW</t>
  </si>
  <si>
    <t>1 cup,  (1" cubes)</t>
  </si>
  <si>
    <t>GARLIC,RAW</t>
  </si>
  <si>
    <t>GINGER ROOT,RAW</t>
  </si>
  <si>
    <t>LAMBSQUARTERS,RAW</t>
  </si>
  <si>
    <t>1 leek</t>
  </si>
  <si>
    <t>1 cup, shredded or chopped</t>
  </si>
  <si>
    <t>LOTUS ROOT,RAW</t>
  </si>
  <si>
    <t>LETTUCE,RED LEAF,RAW</t>
  </si>
  <si>
    <t>MOUNTAIN YAM,HAWAII,RAW</t>
  </si>
  <si>
    <t>.5 cup, cubes</t>
  </si>
  <si>
    <t>MUSHROOMS,WHITE,RAW</t>
  </si>
  <si>
    <t>1 cup, pieces or slices</t>
  </si>
  <si>
    <t>MUSHROOMS,PORTABELLA,RAW</t>
  </si>
  <si>
    <t>NEW ZEALAND SPINACH,RAW</t>
  </si>
  <si>
    <t>OKRA,RAW</t>
  </si>
  <si>
    <t>ONIONS,RAW</t>
  </si>
  <si>
    <t>10 strips</t>
  </si>
  <si>
    <t>PUMPKIN,RAW</t>
  </si>
  <si>
    <t>1 plant</t>
  </si>
  <si>
    <t>RADISHES,RAW</t>
  </si>
  <si>
    <t>RUTABAGAS,RAW</t>
  </si>
  <si>
    <t>SOYBEANS,GREEN,RAW</t>
  </si>
  <si>
    <t>ALCOHOLIC BEV,BEER,REG,ALL</t>
  </si>
  <si>
    <t>1 fluid ounce</t>
  </si>
  <si>
    <t>ALCOHOLIC BEV,BEER,LT</t>
  </si>
  <si>
    <t>TURNIPS,RAW</t>
  </si>
  <si>
    <t>4 waterchestnuts</t>
  </si>
  <si>
    <t>CHOCOLATE SYRUP</t>
  </si>
  <si>
    <t>1 tsp, dry</t>
  </si>
  <si>
    <t>1 serving, 1 cup 8 fl oz</t>
  </si>
  <si>
    <t>MALT BEVERAGE</t>
  </si>
  <si>
    <t>CARAMBOLA,(STARFRUIT),RAW</t>
  </si>
  <si>
    <t>CARISSA,(NATAL-PLUM),RAW</t>
  </si>
  <si>
    <t>CHERIMOYA,RAW</t>
  </si>
  <si>
    <t>CHERRIES,SOUR,RED,RAW</t>
  </si>
  <si>
    <t>1 cup, without pits</t>
  </si>
  <si>
    <t>CHERRIES,SWEET,RAW</t>
  </si>
  <si>
    <t>DATES,DEGLET NOOR</t>
  </si>
  <si>
    <t xml:space="preserve">* CHEESE,COTTAGE,LOWFAT,1% </t>
  </si>
  <si>
    <t xml:space="preserve">* CHEESE,COTTAGE,LOWFAT,2% </t>
  </si>
  <si>
    <t>CHEESE,MOZZARELLA, SKIM MILK</t>
  </si>
  <si>
    <t>CREAM,LT ( TABLE CRM)</t>
  </si>
  <si>
    <t>CREAM,WHIPPED</t>
  </si>
  <si>
    <t>* SALAD DRSNG,ITALIAN RED FAT</t>
  </si>
  <si>
    <t>* SALAD DRSNG, MIRACLE WHIP</t>
  </si>
  <si>
    <t>MARGARINE,VEG OIL SPRD,60% FAT</t>
  </si>
  <si>
    <t>MARGARINE-LIKE SPRD,40% FAT,</t>
  </si>
  <si>
    <t>OIL,VEG,SUNFLOWER</t>
  </si>
  <si>
    <t>SALAD DRSNG,FRENCH RED FAT</t>
  </si>
  <si>
    <t xml:space="preserve">SALAD DRSNG,FRENCH </t>
  </si>
  <si>
    <t>SALAD DRSNG,CAESAR REG</t>
  </si>
  <si>
    <t>SALAD DRSNG,HON MUST RED CAL</t>
  </si>
  <si>
    <t xml:space="preserve">SALAD DRSNG,ITALIAN </t>
  </si>
  <si>
    <t xml:space="preserve">SALAD DRSNG,FAT FREE RANCH </t>
  </si>
  <si>
    <t>SALAD DRSNG,MAYO FAT FREE</t>
  </si>
  <si>
    <t>SALAD DRSNG, LT MAYO</t>
  </si>
  <si>
    <t xml:space="preserve">SALAD DRSNG, MIRACLE WHIP LT </t>
  </si>
  <si>
    <t xml:space="preserve">SALAD DRSNG, RANCH </t>
  </si>
  <si>
    <t xml:space="preserve">SALAD DRSNG, ZESTY ITALIAN </t>
  </si>
  <si>
    <t>SALAD DRSNG,MAYO TYPE,REG</t>
  </si>
  <si>
    <t>SALAD DRSNG,MAYO,SOYBN OIL,</t>
  </si>
  <si>
    <t xml:space="preserve">SALAD DRSNG,RUSSIAN </t>
  </si>
  <si>
    <t>SALAD DRSNG,SESAME SD ,REG</t>
  </si>
  <si>
    <t>* CHICKEN DRUMSTK,NO SKIN,RAW</t>
  </si>
  <si>
    <t>* CHICKEN BREAST,NO SKIN,RAW</t>
  </si>
  <si>
    <t>* DUCK,DOMESTICATED,NO SKIN,RAW</t>
  </si>
  <si>
    <t>CHICKEN NUGGETS, UNCOOKED</t>
  </si>
  <si>
    <t>CHICKEN,CORNSH GH,NO SKIN,RAW</t>
  </si>
  <si>
    <t>CHICKEN,CORNSH GH,MT&amp;SKN,RAW</t>
  </si>
  <si>
    <t>CHICKEN,GIZZARD,RAW</t>
  </si>
  <si>
    <t>DUCK,MEAT ONLY,CKD,RSTD</t>
  </si>
  <si>
    <t>DUCK,MEAT&amp;SKN,RAW</t>
  </si>
  <si>
    <t>GOOSE,MEAT ONLY,RAW</t>
  </si>
  <si>
    <t>GOOSE,MEAT&amp;SKN,RAW</t>
  </si>
  <si>
    <t>PHEASANT,BREAST,NO SKIN,RAW</t>
  </si>
  <si>
    <t>PHEASANT,LEG,NO SKIN,RAW</t>
  </si>
  <si>
    <t>PHEASANT,RAW, NO SKIN</t>
  </si>
  <si>
    <t>GRAVY,MEAT OR POULTRY</t>
  </si>
  <si>
    <t>SAUCE,CHILI,PEPPERS,HOT</t>
  </si>
  <si>
    <t>SAUCE,PASTA,SPAGHETTI</t>
  </si>
  <si>
    <t>SAUCE,PEPPERS,HOT,CHILI</t>
  </si>
  <si>
    <t>SOUP,CLAM CHOWD,MANHATTAN</t>
  </si>
  <si>
    <t>SOUP,CLAM CHOWD,NEW ENGLAND</t>
  </si>
  <si>
    <t>SOUP,MINESTRONE</t>
  </si>
  <si>
    <t>SOUP,POTATO HAM CHOWDER</t>
  </si>
  <si>
    <t>SOUP,SIRLOIN BURGER W/VEG</t>
  </si>
  <si>
    <t xml:space="preserve">SOUP,TURKEY VEG,CND,PREP </t>
  </si>
  <si>
    <t xml:space="preserve">* CHICKEN BREAST, MESQ FLAVOR </t>
  </si>
  <si>
    <t>* CHICKEN BREAST  OVEN-ROAST</t>
  </si>
  <si>
    <t>* OVEN-ROAST CHKN BREAST ROLL</t>
  </si>
  <si>
    <t xml:space="preserve">BRATWURST  PORK  BEEF &amp; TURKEY </t>
  </si>
  <si>
    <t>CHEESEFURTER, PORK,BEEF</t>
  </si>
  <si>
    <t>DUTCH BRAND LOAF, CHKN,PK,BF</t>
  </si>
  <si>
    <t>HAM,SLICED, (APPROX 11% FAT)</t>
  </si>
  <si>
    <t>KIELBASA,TURKEY &amp; BEEF,SMOKED</t>
  </si>
  <si>
    <t>KNACKWURST PORK  BEEF</t>
  </si>
  <si>
    <t>LUNCHEON MEAT,BEEF,</t>
  </si>
  <si>
    <t>MACARONI &amp; CHS LOAF CHKN,PK,BF</t>
  </si>
  <si>
    <t>SALAMI  ITALIAN  PORK &amp; BF</t>
  </si>
  <si>
    <t>SAUSAGE, CHKN,BF,PK NO SKIN, SMK</t>
  </si>
  <si>
    <t>SAUSAGE  POLISH  BEEF W/ CHICKEN</t>
  </si>
  <si>
    <t>* CEREALS BRAN,SINGLE BRAND</t>
  </si>
  <si>
    <t>* CEREALS,CHEERIOS</t>
  </si>
  <si>
    <t xml:space="preserve">* CEREALS KASHI GOLEAN </t>
  </si>
  <si>
    <t>* CEREALS KASHI GOLEAN CRUNCH!</t>
  </si>
  <si>
    <t>* CEREALS ALL-BRAN ORIGINAL</t>
  </si>
  <si>
    <t>* CEREALS SPECIAL K</t>
  </si>
  <si>
    <t>* CEREALS POST 100% BRAN CRL</t>
  </si>
  <si>
    <t>* CEREALS INSTANT OATS,DRY</t>
  </si>
  <si>
    <t>CEREALS BRAN FLAKES</t>
  </si>
  <si>
    <t>CEREALS CORN FLAKES,PLN</t>
  </si>
  <si>
    <t>CEREALS APPL CINN CHEERIOS</t>
  </si>
  <si>
    <t>CEREALS BASIC 4</t>
  </si>
  <si>
    <t>CEREALS BERRY BERRY KIX</t>
  </si>
  <si>
    <t>CEREALS BOO BERRY</t>
  </si>
  <si>
    <t>CEREALS CINN TOAST CRUNCH</t>
  </si>
  <si>
    <t>CEREALS COCOA PUFFS</t>
  </si>
  <si>
    <t>CEREALS COOKIE CRISP</t>
  </si>
  <si>
    <t>CEREALS CORN CHEX</t>
  </si>
  <si>
    <t>CEREALS COUNT CHOCULA</t>
  </si>
  <si>
    <t>CEREALS COUNTRY CORN FLAKES</t>
  </si>
  <si>
    <t>CEREALS FRANKENBERRY</t>
  </si>
  <si>
    <t>CEREALS FRENCH TOAST CRUNCH</t>
  </si>
  <si>
    <t xml:space="preserve">Water Intake - Recommended: </t>
  </si>
  <si>
    <t>Min. wt (g)</t>
  </si>
  <si>
    <t>Ecto - Plan 1</t>
  </si>
  <si>
    <t>* PROTEIN POWDER (SCOOP)</t>
  </si>
  <si>
    <t>1 scoop</t>
  </si>
  <si>
    <t>Endo - Plan 1</t>
  </si>
  <si>
    <t>Meso - Plan 1</t>
  </si>
  <si>
    <t>Min serving</t>
  </si>
  <si>
    <t>Upper</t>
  </si>
  <si>
    <t>Lower</t>
  </si>
  <si>
    <t>Food Groups:</t>
  </si>
  <si>
    <t>One Hour (Too Few)</t>
  </si>
  <si>
    <t>Two Hours (Too Few)</t>
  </si>
  <si>
    <t>Three Hours (Moderate)</t>
  </si>
  <si>
    <t>Four Hours (Moderate)</t>
  </si>
  <si>
    <t>Five Hours (Ideal)</t>
  </si>
  <si>
    <t>Six Hours (Ideal)</t>
  </si>
  <si>
    <t>Seven Hours (High)</t>
  </si>
  <si>
    <t>Eight Hours (High)</t>
  </si>
  <si>
    <t xml:space="preserve">Weight Training (Hours per Week): </t>
  </si>
  <si>
    <t xml:space="preserve">Muscle Maintenance: </t>
  </si>
  <si>
    <t>Body type</t>
  </si>
  <si>
    <t>Type</t>
  </si>
  <si>
    <t>Ecto</t>
  </si>
  <si>
    <t>Endo</t>
  </si>
  <si>
    <t>Meso</t>
  </si>
  <si>
    <t>Ecto-Meso</t>
  </si>
  <si>
    <t xml:space="preserve">Body type: </t>
  </si>
  <si>
    <t>Ecto-Meso - Plan 1</t>
  </si>
  <si>
    <t>Ecto - Plan 2</t>
  </si>
  <si>
    <t>Endo - Plan 2</t>
  </si>
  <si>
    <t>Meso - Plan 2</t>
  </si>
  <si>
    <t>Ecto-Meso - Plan 2</t>
  </si>
  <si>
    <t>Ecto - Plan 3</t>
  </si>
  <si>
    <t>Endo - Plan 3</t>
  </si>
  <si>
    <t>Meso - Plan 3</t>
  </si>
  <si>
    <t>Ecto-Meso - Plan 3</t>
  </si>
  <si>
    <t>Ecto - Plan 4</t>
  </si>
  <si>
    <t>Endo - Plan 4</t>
  </si>
  <si>
    <t>Meso - Plan 4</t>
  </si>
  <si>
    <t>Ecto-Meso - Plan 4</t>
  </si>
  <si>
    <t>Ecto - Plan 5</t>
  </si>
  <si>
    <t>Endo - Plan 5</t>
  </si>
  <si>
    <t>Meso - Plan 5</t>
  </si>
  <si>
    <t>Ecto-Meso - Plan 5</t>
  </si>
  <si>
    <t>Unit</t>
  </si>
  <si>
    <t>cup</t>
  </si>
  <si>
    <t>Ectomorph</t>
  </si>
  <si>
    <t>Mesomorph</t>
  </si>
  <si>
    <t>database</t>
  </si>
  <si>
    <t>EctoMeso</t>
  </si>
  <si>
    <t>EndoMeso</t>
  </si>
  <si>
    <t>muscle gain</t>
  </si>
  <si>
    <t>Nine Hours (Too High, Counterproductive)</t>
  </si>
  <si>
    <t>Ten Hours (Too High, Counterproductive)</t>
  </si>
  <si>
    <t>Workout Days</t>
  </si>
  <si>
    <t>Meal 1</t>
  </si>
  <si>
    <t>Meal 3</t>
  </si>
  <si>
    <t>Meal 4</t>
  </si>
  <si>
    <t>Meal 5</t>
  </si>
  <si>
    <t>Meal 6</t>
  </si>
  <si>
    <t>Off day</t>
  </si>
  <si>
    <t>Off Days</t>
  </si>
  <si>
    <t>After Meal 1</t>
  </si>
  <si>
    <t>After Meal 2</t>
  </si>
  <si>
    <t>After Meal 3</t>
  </si>
  <si>
    <t>After Meal 4</t>
  </si>
  <si>
    <t>Fat Loss</t>
  </si>
  <si>
    <t>Muscle gain</t>
  </si>
  <si>
    <t>Large</t>
  </si>
  <si>
    <t>tbsp</t>
  </si>
  <si>
    <t>oz</t>
  </si>
  <si>
    <t>fl oz</t>
  </si>
  <si>
    <t>tsp</t>
  </si>
  <si>
    <t>drumstick</t>
  </si>
  <si>
    <t>neck</t>
  </si>
  <si>
    <t>nugget</t>
  </si>
  <si>
    <t>thigh</t>
  </si>
  <si>
    <t>wing</t>
  </si>
  <si>
    <t>giblet</t>
  </si>
  <si>
    <t>Required:</t>
  </si>
  <si>
    <t>flat fillet</t>
  </si>
  <si>
    <t>full rump</t>
  </si>
  <si>
    <t>patty</t>
  </si>
  <si>
    <t>inside drum</t>
  </si>
  <si>
    <t>leg</t>
  </si>
  <si>
    <t>breast</t>
  </si>
  <si>
    <t>quail</t>
  </si>
  <si>
    <t xml:space="preserve">oz </t>
  </si>
  <si>
    <t>lb</t>
  </si>
  <si>
    <t>slices</t>
  </si>
  <si>
    <t>bird</t>
  </si>
  <si>
    <t>1 gizzard</t>
  </si>
  <si>
    <t>gizzard</t>
  </si>
  <si>
    <t>serving</t>
  </si>
  <si>
    <t>slice</t>
  </si>
  <si>
    <t>link</t>
  </si>
  <si>
    <t>frankfurter</t>
  </si>
  <si>
    <t>sausage</t>
  </si>
  <si>
    <t>packet</t>
  </si>
  <si>
    <t>muffin</t>
  </si>
  <si>
    <t>bagel</t>
  </si>
  <si>
    <t>biscuit</t>
  </si>
  <si>
    <t>stick</t>
  </si>
  <si>
    <t>waffle</t>
  </si>
  <si>
    <t>waffle, round</t>
  </si>
  <si>
    <t>pancake</t>
  </si>
  <si>
    <t>pastry</t>
  </si>
  <si>
    <t>banana</t>
  </si>
  <si>
    <t>large,  (2-1/2" dia)</t>
  </si>
  <si>
    <t>fruit</t>
  </si>
  <si>
    <t>pomegranate,  (3-3/8" dia)</t>
  </si>
  <si>
    <t>stalk</t>
  </si>
  <si>
    <t>can</t>
  </si>
  <si>
    <t>scoop</t>
  </si>
  <si>
    <t>bottle</t>
  </si>
  <si>
    <t>tsp, dry</t>
  </si>
  <si>
    <t>spear</t>
  </si>
  <si>
    <t>sprout</t>
  </si>
  <si>
    <t>potato</t>
  </si>
  <si>
    <t>tbsp, chopped</t>
  </si>
  <si>
    <t>ear</t>
  </si>
  <si>
    <t>sprig</t>
  </si>
  <si>
    <t>plant</t>
  </si>
  <si>
    <t>leaf</t>
  </si>
  <si>
    <t>leek</t>
  </si>
  <si>
    <t>root</t>
  </si>
  <si>
    <t>pepper</t>
  </si>
  <si>
    <t>large</t>
  </si>
  <si>
    <t>potato med</t>
  </si>
  <si>
    <t>piece</t>
  </si>
  <si>
    <t>fillet</t>
  </si>
  <si>
    <t>cake</t>
  </si>
  <si>
    <t>crab</t>
  </si>
  <si>
    <t>lobster</t>
  </si>
  <si>
    <t>medium</t>
  </si>
  <si>
    <t>piece,  (4-1/2" x 2-1/8" x 7/8")</t>
  </si>
  <si>
    <t>chop</t>
  </si>
  <si>
    <t>steak</t>
  </si>
  <si>
    <t>rib</t>
  </si>
  <si>
    <t>serving, 1.3 oz bar</t>
  </si>
  <si>
    <t>bar, 1.45 oz</t>
  </si>
  <si>
    <t>toast</t>
  </si>
  <si>
    <t>piece,  (1/12 of 12 oz cake)</t>
  </si>
  <si>
    <t>package</t>
  </si>
  <si>
    <t>piece,  (1/10 of cake)</t>
  </si>
  <si>
    <t>serving, 2.13 oz bar</t>
  </si>
  <si>
    <t>package, 1.76 oz</t>
  </si>
  <si>
    <t>serving, 2.oz bar</t>
  </si>
  <si>
    <t>serving, 1.4 oz bar</t>
  </si>
  <si>
    <t>serving, 1.30 oz bar</t>
  </si>
  <si>
    <t>bar,  (1.5 oz)</t>
  </si>
  <si>
    <t>box</t>
  </si>
  <si>
    <t>serving, 1.0 oz tube</t>
  </si>
  <si>
    <t>serving, singles bag</t>
  </si>
  <si>
    <t>mini bar</t>
  </si>
  <si>
    <t>bar,  (1.75 oz)</t>
  </si>
  <si>
    <t>bar, 2 oz</t>
  </si>
  <si>
    <t>serving, 2.17 oz pack</t>
  </si>
  <si>
    <t>bar, 1.4 oz</t>
  </si>
  <si>
    <t>bar,  (2 oz)</t>
  </si>
  <si>
    <t>serving, fun size (8 chews)</t>
  </si>
  <si>
    <t>serving, 6 pieces</t>
  </si>
  <si>
    <t>package,  (2 oz)</t>
  </si>
  <si>
    <t>package,  (1.89 oz, 2 bars)</t>
  </si>
  <si>
    <t>bar, 1.7 oz</t>
  </si>
  <si>
    <t>square</t>
  </si>
  <si>
    <t>brownie</t>
  </si>
  <si>
    <t>cookie</t>
  </si>
  <si>
    <t>Figaroo</t>
  </si>
  <si>
    <t>anisett sponge</t>
  </si>
  <si>
    <t>fudge marshmallow</t>
  </si>
  <si>
    <t>cracker</t>
  </si>
  <si>
    <t>rusk</t>
  </si>
  <si>
    <t>eclair</t>
  </si>
  <si>
    <t>puff</t>
  </si>
  <si>
    <t>bar,  (oz)</t>
  </si>
  <si>
    <t>croissant</t>
  </si>
  <si>
    <t>donut</t>
  </si>
  <si>
    <t>bar</t>
  </si>
  <si>
    <t>bag</t>
  </si>
  <si>
    <t>Measure</t>
  </si>
  <si>
    <t xml:space="preserve">Post-workout Recovery Shake: </t>
  </si>
  <si>
    <t>Weight Training Schedule</t>
  </si>
  <si>
    <t xml:space="preserve">Weight Training Schedule: </t>
  </si>
  <si>
    <t>When</t>
  </si>
  <si>
    <t>CEREALS FROSTED CHEERIOS</t>
  </si>
  <si>
    <t>* CEREALS MULTIGRAIN OATS,DRY</t>
  </si>
  <si>
    <t>CEREALS GOLDEN GRAHAMS</t>
  </si>
  <si>
    <t>CEREALS HONEY NUT CHEERIOS</t>
  </si>
  <si>
    <t>CEREALS HONEY NUT CHEX</t>
  </si>
  <si>
    <t>CEREALS KABOOM</t>
  </si>
  <si>
    <t>CEREALS KIX</t>
  </si>
  <si>
    <t>CEREALS LUCKY CHARMS</t>
  </si>
  <si>
    <t>CEREALS MULTI-BRAN CHEX</t>
  </si>
  <si>
    <t>CEREALS MULTI-GRAIN CHEERIOS</t>
  </si>
  <si>
    <t>CEREALS NATURE VAL. GRANOLA</t>
  </si>
  <si>
    <t>CEREALS OATMEAL CRISP W/ ALM</t>
  </si>
  <si>
    <t>CEREALS RAISIN NUT BRAN</t>
  </si>
  <si>
    <t>CEREALS RICE CHEX</t>
  </si>
  <si>
    <t>CEREALS TEAM CHEERIOS</t>
  </si>
  <si>
    <t>CEREALS TOTAL CORN FLAKES</t>
  </si>
  <si>
    <t>CEREALS TOTAL RAISIN BRAN</t>
  </si>
  <si>
    <t>CEREALS TRIX</t>
  </si>
  <si>
    <t>CEREALS WHEAT CHEX</t>
  </si>
  <si>
    <t>CEREALS WHEATIES</t>
  </si>
  <si>
    <t>CEREALS WHEATIES RAISIN BRAN</t>
  </si>
  <si>
    <t>CEREALS WHOLE GRAIN TOTAL</t>
  </si>
  <si>
    <t xml:space="preserve">CEREALS HONEY PUFFED KASHI </t>
  </si>
  <si>
    <t xml:space="preserve">CEREALS KASHI GOOD FRIENDS </t>
  </si>
  <si>
    <t>CEREALS KASHI HEART TO HEART</t>
  </si>
  <si>
    <t>CEREALS CRAN-VANILLA CRUNCH</t>
  </si>
  <si>
    <t>CEREALS JUST RIGHT FRUIT &amp; NUT</t>
  </si>
  <si>
    <t>CEREALS RAISIN BRAN</t>
  </si>
  <si>
    <t>CEREALS APPLE JACKS</t>
  </si>
  <si>
    <t>CEREALS COCOA KRISPIES</t>
  </si>
  <si>
    <t>CEREALS COMPLETE WHT BRAN</t>
  </si>
  <si>
    <t>CEREALS CORN FLAKES</t>
  </si>
  <si>
    <t>CEREALS CORN POPS</t>
  </si>
  <si>
    <t>CEREALS CRACKLIN OAT BRAN</t>
  </si>
  <si>
    <t>CEREALS CRISPIX</t>
  </si>
  <si>
    <t>CEREALS FROOT LOOPS</t>
  </si>
  <si>
    <t>CEREALS FROSTED FLAKES</t>
  </si>
  <si>
    <t>CEREALS FRSTD MINI-WHEATS</t>
  </si>
  <si>
    <t>CEREALS FRSTD RICE KRISPIES</t>
  </si>
  <si>
    <t>CEREALS HONEY SMACKS</t>
  </si>
  <si>
    <t>CEREALS MUESLIX</t>
  </si>
  <si>
    <t>CEREALS PRODUCT 19</t>
  </si>
  <si>
    <t>CEREALS RAISIN MINI-WHEATS</t>
  </si>
  <si>
    <t>CEREALS RICE KRISPIES</t>
  </si>
  <si>
    <t xml:space="preserve">CEREALS RICE KRISPIES TREATS </t>
  </si>
  <si>
    <t>CEREALS STRAWBERRY MINI-WHT</t>
  </si>
  <si>
    <t>CEREALS FRUIT HARV BAN-BERRY</t>
  </si>
  <si>
    <t xml:space="preserve">CEREALS SPECIAL K LO CARB </t>
  </si>
  <si>
    <t xml:space="preserve">CEREALS BLUEBERRY MORNING </t>
  </si>
  <si>
    <t xml:space="preserve">CEREALS BAN-NUT CRUNCH </t>
  </si>
  <si>
    <t xml:space="preserve">CEREALS FRSTD ALPHA-BITS </t>
  </si>
  <si>
    <t xml:space="preserve">CEREALS COCOA PEBBLES </t>
  </si>
  <si>
    <t>CEREALS FRSTD SHREDDED WHEAT</t>
  </si>
  <si>
    <t xml:space="preserve">CEREALS FRUIT&amp;FIBRE  </t>
  </si>
  <si>
    <t>CEREALS FRUITY PEBBLES</t>
  </si>
  <si>
    <t>CEREALS GOLDEN CRISP CRL</t>
  </si>
  <si>
    <t xml:space="preserve">CEREALS GRAPE-NUTS </t>
  </si>
  <si>
    <t>CEREALS GRAPE-NUTS FLAKES</t>
  </si>
  <si>
    <t>CEREALS GREAT GRAINS</t>
  </si>
  <si>
    <t>CEREALS HONEY BUNCH-OAT/ALM</t>
  </si>
  <si>
    <t xml:space="preserve">CEREALS HONEYCOMB </t>
  </si>
  <si>
    <t xml:space="preserve">CEREALS MARSHMLLW ALPHA-BITS </t>
  </si>
  <si>
    <t xml:space="preserve">CEREALS OREO </t>
  </si>
  <si>
    <t xml:space="preserve">CEREALS RAISIN BRAN </t>
  </si>
  <si>
    <t>CEREALS SHREDDED WHEAT N BRAN</t>
  </si>
  <si>
    <t>CEREALS LOFAT GRANOLA W/ RAIS</t>
  </si>
  <si>
    <t>CEREALS TOASTIES CORN FLAKES</t>
  </si>
  <si>
    <t xml:space="preserve">CEREALS PUFFED KASHI </t>
  </si>
  <si>
    <t>CEREALS CRUNCHY BRAN</t>
  </si>
  <si>
    <t>CEREALS MULTIGRAIN OATS,PREP</t>
  </si>
  <si>
    <t>CEREALS PUFFED RICE</t>
  </si>
  <si>
    <t>CEREALS GRANOLA OATS &amp; HONEY</t>
  </si>
  <si>
    <t>CEREALS CAPN CRUNCH</t>
  </si>
  <si>
    <t>CEREALS KING VITAMAN</t>
  </si>
  <si>
    <t>CEREALS HONEY CR WHEAT GERM</t>
  </si>
  <si>
    <t>CEREALS SWT CRUNCH/QUISP</t>
  </si>
  <si>
    <t>CEREALS CRISPY RICE</t>
  </si>
  <si>
    <t>CEREALS TASTEEOS</t>
  </si>
  <si>
    <t>CEREALS PUFFED,W/ COCOA</t>
  </si>
  <si>
    <t>CEREALS WHEAT,PUFFED</t>
  </si>
  <si>
    <t>CEREALS WHL WHEAT,SHREDDED</t>
  </si>
  <si>
    <t>CEREALS CREAM OF WHEAT,DRY</t>
  </si>
  <si>
    <t>CEREALS FARINA,ENR,DRY</t>
  </si>
  <si>
    <t>CEREALS MALTEX,DRY</t>
  </si>
  <si>
    <t>CEREALS MALT-O-MEAL,PLN,DRY</t>
  </si>
  <si>
    <t>CEREALS MAYPO,DRY</t>
  </si>
  <si>
    <t>CEREALS OATS,W/ CINN &amp; SPICE,DRY</t>
  </si>
  <si>
    <t>CEREALS OATS,W/ RAIS &amp; SPICE,DRY</t>
  </si>
  <si>
    <t>CEREALS CORN GRITS,INST,DRY</t>
  </si>
  <si>
    <t xml:space="preserve">CEREALS OATS,FRT&amp; CRM VAR,PREP </t>
  </si>
  <si>
    <t>CEREALS OATS,MPL &amp; BRN SUG,DRY</t>
  </si>
  <si>
    <t>CEREALS OATS, RAIS,NUT/DATE,DRY</t>
  </si>
  <si>
    <t>CEREALS OATS,FRUIT &amp; CRM,DRY</t>
  </si>
  <si>
    <t>CEREALS MALT-O-MEAL</t>
  </si>
  <si>
    <t>* BREAD,MULTI/WHL GRAIN</t>
  </si>
  <si>
    <t>* ENGLISH MUFFINS,MIXED-GRAIN</t>
  </si>
  <si>
    <t>BAGELS,PLN,ONION,POPPY,SES</t>
  </si>
  <si>
    <t>BISCUITS,MIXED GRAIN</t>
  </si>
  <si>
    <t>BISCUITS,PLN OR BUTTERMILK</t>
  </si>
  <si>
    <t>BREAD CRUMBS,DRY/PLAIN</t>
  </si>
  <si>
    <t>BREAD, FRENCH/VIENNA/SOURDOUGH</t>
  </si>
  <si>
    <t>BREAD,BANANA,W/MARGARINE</t>
  </si>
  <si>
    <t>BREAD,CORNBREAD</t>
  </si>
  <si>
    <t xml:space="preserve">BREAD,WHITE,COMMLY PREP </t>
  </si>
  <si>
    <t>BREAD,WHITE,PREP FROM RECIPE</t>
  </si>
  <si>
    <t>BREAD,WHOLE-WHEAT</t>
  </si>
  <si>
    <t>BREAD,WHOLE-WHEAT (RECIPE)</t>
  </si>
  <si>
    <t>ENGLISH MUFFIN, PLN,ENCHED.</t>
  </si>
  <si>
    <t>ENGLISH MUFFINS,CINN-RAISIN</t>
  </si>
  <si>
    <t>FRENCH TOAST,PREP FROM RECIPE</t>
  </si>
  <si>
    <t>EGGO,BTTRMLK PANCAKE</t>
  </si>
  <si>
    <t>EGGO LOWFAT HOMESTYLE WAFF</t>
  </si>
  <si>
    <t>EGGO LOWFAT NUTRI - GRAIN WAFF</t>
  </si>
  <si>
    <t>POP-TART</t>
  </si>
  <si>
    <t>PASTA,FRESH,PLN,REFRIGERATED</t>
  </si>
  <si>
    <t>PASTA,REFRIGERATED,PLN,CKD</t>
  </si>
  <si>
    <t>PASTA,REFRIGERATED,SPINACH</t>
  </si>
  <si>
    <t>PASTA,REFRIG,SPINACH,CKD</t>
  </si>
  <si>
    <t>RICE,WHITE,LONG-GRAIN,DRY</t>
  </si>
  <si>
    <t>RICE,WHITE,MEDIUM-GRAIN,RAW</t>
  </si>
  <si>
    <t>* APPLESAUCE,UNSWTND</t>
  </si>
  <si>
    <t>APPLESAUCE,SWEETENED</t>
  </si>
  <si>
    <t>GROUNDCHERRIES, RAW</t>
  </si>
  <si>
    <t>KIWI FRUIT,RAW</t>
  </si>
  <si>
    <t>ORANGES,RAW</t>
  </si>
  <si>
    <t>PINEAPPLE,RAW</t>
  </si>
  <si>
    <t>TANGERINES,(MANDARIN),RAW</t>
  </si>
  <si>
    <t>* COFFEE,GROUND (PREPARED)</t>
  </si>
  <si>
    <t>* SPORTS DRINK, LOW CALORIE</t>
  </si>
  <si>
    <t xml:space="preserve">* TEA,BREWED,PREP </t>
  </si>
  <si>
    <t>ALCOHOLIC BEV,CREME DE MENTHE</t>
  </si>
  <si>
    <t>ALCOHOLIC BEV (GIN,RUM,VOD,WHSKY)</t>
  </si>
  <si>
    <t>ALCOHOLIC BEV,PINA COLADA</t>
  </si>
  <si>
    <t>ALCOHOLIC BEV,WHISKEY SOUR</t>
  </si>
  <si>
    <t>CARBONATED BEV,LEMON-LIME SODA</t>
  </si>
  <si>
    <t>CARBONATED BEV,SPRITE</t>
  </si>
  <si>
    <t>COFFEE&amp;COCOA (MOCHA) POWDER</t>
  </si>
  <si>
    <t>COFFEE, DECAF</t>
  </si>
  <si>
    <t>COFFEE, ESPRESSO</t>
  </si>
  <si>
    <t>FRUIT SALAD, JUICE PACK</t>
  </si>
  <si>
    <t>SPORTS DRINK, (ie. GATORADE)</t>
  </si>
  <si>
    <t>ENERGY DRINK, (ie RED BULL)</t>
  </si>
  <si>
    <t>TEA, ARIZONA ICED TEA</t>
  </si>
  <si>
    <t>TEA, LIPTON BRISK ICED TEA</t>
  </si>
  <si>
    <t>* ARTICHOKES,RAW</t>
  </si>
  <si>
    <t>* PEPPERS,SWEET,RED,CANNED</t>
  </si>
  <si>
    <t>BALSAM-PEAR, LEAFY TIPS,RAW</t>
  </si>
  <si>
    <t>BEANS,KIDNEY,SPROUTED,RAW</t>
  </si>
  <si>
    <t>COWPEAS,IMMAT SEEDS,RAW</t>
  </si>
  <si>
    <t xml:space="preserve">DOCK,COOKED,DRAINED </t>
  </si>
  <si>
    <t>GOURD,WHITE-FLOWERED,RAW</t>
  </si>
  <si>
    <t>LEEKS,RAW</t>
  </si>
  <si>
    <t>LENTILS,SPROUTED,COOKED</t>
  </si>
  <si>
    <t>MUSHROOMS,BROWN,RAW</t>
  </si>
  <si>
    <t>MUSTARD SPINACH,RAW</t>
  </si>
  <si>
    <t>PEAS,MATURE SEEDS,RAW</t>
  </si>
  <si>
    <t>PICKLES,SWEET (BREAD &amp; BUTTER)</t>
  </si>
  <si>
    <t>SQUASH,SUMMER,RAW</t>
  </si>
  <si>
    <t>ZUCCHINI, RAW</t>
  </si>
  <si>
    <t>TOMATOES,SUN-DRIED,DRAINED</t>
  </si>
  <si>
    <t>WATERCHESTNUTS,CHINESE,RAW</t>
  </si>
  <si>
    <t>SOYBEANS,MATURE SEEDS, CKD</t>
  </si>
  <si>
    <t>* PEANUT BUTTER,SMOOTH STYLE</t>
  </si>
  <si>
    <t>MIXED NUTS,DRY ROASTED,W/PNUTS</t>
  </si>
  <si>
    <t>PUMPKIN&amp;SQUASH SEED,DRIED</t>
  </si>
  <si>
    <t>SAFFLOWER SEED MEAL, DEFATTED</t>
  </si>
  <si>
    <t>* BEEF,GROUND, 5% FAT,RAW</t>
  </si>
  <si>
    <t>* BEEF,ROUND,FULL CUT,RAW</t>
  </si>
  <si>
    <t>* BEEF,ROUND,TIP,RAW</t>
  </si>
  <si>
    <t>* BEEF,ROUND,TOP,FAT,RAW</t>
  </si>
  <si>
    <t>* BEEF,SHANK CROSSCUTS,RAW</t>
  </si>
  <si>
    <t>* LAMB,CUBED (LEG&amp;SHLDR),RAW</t>
  </si>
  <si>
    <t>* VEAL,LEG (TOP ROUND),RAW</t>
  </si>
  <si>
    <t>BEEF,GROUND 30% FAT,RAW</t>
  </si>
  <si>
    <t>BEEF,GROUND 20% FAT,RAW</t>
  </si>
  <si>
    <t>BEEF,GROUND 15% FAT,RAW</t>
  </si>
  <si>
    <t>BEEF,GROUND 10% FAT,RAW</t>
  </si>
  <si>
    <t>BEEF,RIB,EYE SMALL, RAW</t>
  </si>
  <si>
    <t>BEEF,RIB,WHL,RAW</t>
  </si>
  <si>
    <t>BEEF,ROUND,TIP,FAT,RAW</t>
  </si>
  <si>
    <t>BEEF,T-BONE,RAW</t>
  </si>
  <si>
    <t>BEEF,SHORT LOIN,TOP,RAW</t>
  </si>
  <si>
    <t>BEEF,TENDERLOIN,RAW</t>
  </si>
  <si>
    <t>BEEF,TOP SIRLOIN,RAW</t>
  </si>
  <si>
    <t>GAME MEAT,BEEFALO,RAW</t>
  </si>
  <si>
    <t>GAME MEAT,RABBIT,RAW</t>
  </si>
  <si>
    <t>LAMB, LEG,SIRLOIN HALF,RAW</t>
  </si>
  <si>
    <t>LAMB,LEG,SHANK HALF,RAW</t>
  </si>
  <si>
    <t>LAMB,LEG,WHL,RAW</t>
  </si>
  <si>
    <t>LAMB,SHOULDER,WHL,RAW</t>
  </si>
  <si>
    <t>VEAL,COMP OF RTL CUTS,RAW</t>
  </si>
  <si>
    <t>VEAL,CUBED FOR STEW ,RAW</t>
  </si>
  <si>
    <t>VEAL,SHOULDER,WHL,RAW</t>
  </si>
  <si>
    <t xml:space="preserve">CATFISH,CHANNEL,WILD,CKD,DRY </t>
  </si>
  <si>
    <t>FLATFISH (FLOUNDER&amp;SOLE),RAW</t>
  </si>
  <si>
    <t>SARDINE,ATLANTIC,CANNED/DRAINED</t>
  </si>
  <si>
    <t>SARDINE,PACIFIC,CANNED/DRAINED</t>
  </si>
  <si>
    <t>* PORK TENDERLOIN,RAW</t>
  </si>
  <si>
    <t>* PORK,CANADIAN-STYLE BACON</t>
  </si>
  <si>
    <t>* PORK,CURED,HAM ROASTED</t>
  </si>
  <si>
    <t>* PORK,FRESH,LOIN, (CHOPS),RAW</t>
  </si>
  <si>
    <t>* PORK,(CHOPS),BNLESS,RAW</t>
  </si>
  <si>
    <t>* PORK,FRSH,BACKRIBS,RAW</t>
  </si>
  <si>
    <t>PORK,CURED,HAM,RAW</t>
  </si>
  <si>
    <t>PORK,CURED,HAM,FAT,BNLESS</t>
  </si>
  <si>
    <t>PORK,FRESH,LEG (HAM),RUMP,RAW</t>
  </si>
  <si>
    <t>PORK,FRESH,LEG (HAM),SHANK,RAW</t>
  </si>
  <si>
    <t>PORK,FRESH,LEG (HAM),WHL,RAW</t>
  </si>
  <si>
    <t>PORK,FRESH,LOIN,BLADE, RAW</t>
  </si>
  <si>
    <t>PORK,FRESH,LOIN,RAW</t>
  </si>
  <si>
    <t>PORK,FRESH,LOIN,WHL,RAW</t>
  </si>
  <si>
    <t>PORK,FRESH,SHLDR,RAW</t>
  </si>
  <si>
    <t>PORK,FRESH,SHLDR,WHL,RAW</t>
  </si>
  <si>
    <t>PORK,FRESH,SPARERIBS,RAW</t>
  </si>
  <si>
    <t>PORK,FRSH,LOIN,LN&amp;FAT,RAW</t>
  </si>
  <si>
    <t>PORK,FRSH,LOIN RIBS,RAW</t>
  </si>
  <si>
    <t>PORK,FRSH,LOIN,RAW</t>
  </si>
  <si>
    <t>PORK, LOIN(ROASTS)BNLSS,RAW</t>
  </si>
  <si>
    <t>CAKE,BOSTON CRM PIE</t>
  </si>
  <si>
    <t>CAKE,CARROT,DRY MIX</t>
  </si>
  <si>
    <t>CAKE,CHERRY FUDGE W/ FRSTNG</t>
  </si>
  <si>
    <t>CAKE,CHOC, W/CHOC FRSTNG</t>
  </si>
  <si>
    <t>CAKE,FRUITCAKE</t>
  </si>
  <si>
    <t>CAKE,GINGERBREAD,PREP</t>
  </si>
  <si>
    <t>CANDIES,M&amp;MS MINIS</t>
  </si>
  <si>
    <t>CANDIES,MILKY WAY CARAMELS</t>
  </si>
  <si>
    <t>CAKE,SHORTCAKE,PREP</t>
  </si>
  <si>
    <t>CANDIES,M&amp;MS</t>
  </si>
  <si>
    <t xml:space="preserve">CANDIES,M&amp;MS PNUT </t>
  </si>
  <si>
    <t xml:space="preserve">CANDIES,MILKY WAY CARAMELS DK </t>
  </si>
  <si>
    <t>CANDIES,AFTER EIGHT MINTS</t>
  </si>
  <si>
    <t>CANDIES,BABY RUTH BAR</t>
  </si>
  <si>
    <t>CANDIES,BUTTERFINGER BAR</t>
  </si>
  <si>
    <t>CANDIES,CHUNKY BAR</t>
  </si>
  <si>
    <t>CANDIES,OH HENRY! BAR</t>
  </si>
  <si>
    <t>CANDIES,PNUT BUTTER CUPS</t>
  </si>
  <si>
    <t>CANDIES,ROLO CARAMELS IN CHOC</t>
  </si>
  <si>
    <t xml:space="preserve">CANDIES,SKITTLES ORIGINAL </t>
  </si>
  <si>
    <t>CANDIES,STARBURST,ORIGINAL</t>
  </si>
  <si>
    <t>CANDIES,TOOTSIE ROLL</t>
  </si>
  <si>
    <t xml:space="preserve">CANDIES,TWIX CARAMEL </t>
  </si>
  <si>
    <t xml:space="preserve">CANDIES,TWIX PNUT BUTTER </t>
  </si>
  <si>
    <t xml:space="preserve">CANDIES,TWIZZLERS </t>
  </si>
  <si>
    <t xml:space="preserve">CANDIES,WHATCHAMACALLIT </t>
  </si>
  <si>
    <t>Results for Brady</t>
  </si>
  <si>
    <t>COOKIES,ANIMAL CRACKERS</t>
  </si>
  <si>
    <t>COOKIES,BROWNIES,PREP</t>
  </si>
  <si>
    <t>COOKIES,FUDGE,CAKE-TYPE</t>
  </si>
  <si>
    <t>COOKIES,GRAHAM CRACKERS</t>
  </si>
  <si>
    <t>COOKIES,LADYFINGERS</t>
  </si>
  <si>
    <t>COOKIES,MARSHMALLOW W/CHOC</t>
  </si>
  <si>
    <t>CRACKERS,RYE,W/CHEESE</t>
  </si>
  <si>
    <t>CRACKERS,RYE,WAFERS,</t>
  </si>
  <si>
    <t xml:space="preserve">CRACKERS,SALTINES </t>
  </si>
  <si>
    <t>CREAM PUFFS,PREP</t>
  </si>
  <si>
    <t xml:space="preserve">CREAM PUFFS,PREP W/CUSTARD </t>
  </si>
  <si>
    <t>DANISH PASTRY,NUT</t>
  </si>
  <si>
    <t>DOUGHNUTS,CAKE-TYPE</t>
  </si>
  <si>
    <t>POTATO CHIPS,SC&amp;ONION</t>
  </si>
  <si>
    <t xml:space="preserve">PUDDINGS,CHOC,DRY MIX,INST,PREP </t>
  </si>
  <si>
    <t>PUDDINGS,VANILLA,DRY,REG,PREP</t>
  </si>
  <si>
    <t>SNACKS, RICE KRISPIES SQUARES</t>
  </si>
  <si>
    <t>* DIET COLA, PEPPER TYPE BEV</t>
  </si>
  <si>
    <t>* PASTA, WHOLE WHEAT</t>
  </si>
  <si>
    <t>* WATERMELON</t>
  </si>
  <si>
    <t>Actual:</t>
  </si>
  <si>
    <t>Common Measurement</t>
  </si>
  <si>
    <t>Weight (g)</t>
  </si>
  <si>
    <t>1/2 cup</t>
  </si>
  <si>
    <t>1 Large</t>
  </si>
  <si>
    <t>1 1/4 cubic inch</t>
  </si>
  <si>
    <t xml:space="preserve">5 oz </t>
  </si>
  <si>
    <t>1 drumstick</t>
  </si>
  <si>
    <t>1/4 lb</t>
  </si>
  <si>
    <t>2 Slices</t>
  </si>
  <si>
    <t>1 neck</t>
  </si>
  <si>
    <t>1 nugget</t>
  </si>
  <si>
    <t>1 thigh</t>
  </si>
  <si>
    <t>1 wing</t>
  </si>
  <si>
    <t>1/2 bird</t>
  </si>
  <si>
    <t>1 giblet</t>
  </si>
  <si>
    <t>1/2 duck</t>
  </si>
  <si>
    <t>1/2 breast</t>
  </si>
  <si>
    <t>1/2 pheasant</t>
  </si>
  <si>
    <t>2 links</t>
  </si>
  <si>
    <t>3 slices</t>
  </si>
  <si>
    <t>1 sausage</t>
  </si>
  <si>
    <t>1 bagel</t>
  </si>
  <si>
    <t>1 waffle</t>
  </si>
  <si>
    <t>1 waffle, round</t>
  </si>
  <si>
    <t>1 pancake</t>
  </si>
  <si>
    <t>1 1/4 cup</t>
  </si>
  <si>
    <t>1 banana</t>
  </si>
  <si>
    <t>1 cup,cubes</t>
  </si>
  <si>
    <t>1 bottle</t>
  </si>
  <si>
    <t>1 small 12 fl oz</t>
  </si>
  <si>
    <t>1 spear</t>
  </si>
  <si>
    <t>1 potato</t>
  </si>
  <si>
    <t xml:space="preserve">1 cup </t>
  </si>
  <si>
    <t>1 ear</t>
  </si>
  <si>
    <t>1 root</t>
  </si>
  <si>
    <t>1 potato med</t>
  </si>
  <si>
    <t>10 oz</t>
  </si>
  <si>
    <t>1/2 lb</t>
  </si>
  <si>
    <t>1/2 fillet</t>
  </si>
  <si>
    <t xml:space="preserve">3 oz </t>
  </si>
  <si>
    <t>1 serving (3 oz)</t>
  </si>
  <si>
    <t>1 rib</t>
  </si>
  <si>
    <t>1 box</t>
  </si>
  <si>
    <t>1 mini bar</t>
  </si>
  <si>
    <t>2/3 cup</t>
  </si>
  <si>
    <t>1 square</t>
  </si>
  <si>
    <t>1 brownie</t>
  </si>
  <si>
    <t>1 Figaroo</t>
  </si>
  <si>
    <t>1 anisett sponge</t>
  </si>
  <si>
    <t>1 fudge marshmallow</t>
  </si>
  <si>
    <t>1 eclair</t>
  </si>
  <si>
    <t>1 puff</t>
  </si>
  <si>
    <t>1 croissant</t>
  </si>
  <si>
    <t>1/2 oz</t>
  </si>
  <si>
    <t>1 donut</t>
  </si>
  <si>
    <t>1 bag</t>
  </si>
  <si>
    <t>ELDERBERRIES,RAW</t>
  </si>
  <si>
    <t>FIGS,RAW</t>
  </si>
  <si>
    <t>1 large,  (2-1/2" dia)</t>
  </si>
  <si>
    <t>GOOSEBERRIES,RAW</t>
  </si>
  <si>
    <t>1 cup, sections with juice</t>
  </si>
  <si>
    <t>MULBERRIES,RAW</t>
  </si>
  <si>
    <t>NECTARINES,RAW</t>
  </si>
  <si>
    <t>OHELOBERRIES,RAW</t>
  </si>
  <si>
    <t>PAPAYAS,RAW</t>
  </si>
  <si>
    <t>PEACHES,RAW</t>
  </si>
  <si>
    <t>PEARS,RAW</t>
  </si>
  <si>
    <t>1 medium</t>
  </si>
  <si>
    <t>PICKLE RELISH,HOT DOG</t>
  </si>
  <si>
    <t>PICKLE RELISH,SWEET</t>
  </si>
  <si>
    <t>PEPPERS,SWEET,YELLOW,RAW</t>
  </si>
  <si>
    <t>RADICCHIO,RAW</t>
  </si>
  <si>
    <t>TOMATOES,SUN-DRIED</t>
  </si>
  <si>
    <t>SPOT,RAW</t>
  </si>
  <si>
    <t>SUCKER,WHITE,RAW</t>
  </si>
  <si>
    <t>SUNFISH,PUMPKIN SEED,RAW</t>
  </si>
  <si>
    <t>SURIMI</t>
  </si>
  <si>
    <t>SWORDFISH,RAW</t>
  </si>
  <si>
    <t>1 piece,  (4-1/2" x 2-1/8" x 7/8")</t>
  </si>
  <si>
    <t>TILEFISH,RAW</t>
  </si>
  <si>
    <t>TROUT,MIXED SPECIES,RAW</t>
  </si>
  <si>
    <t>TROUT,RAINBOW,WILD,RAW</t>
  </si>
  <si>
    <t>TUNA,FRESH,BLUEFIN,RAW</t>
  </si>
  <si>
    <t>1 cup, solid or chunks</t>
  </si>
  <si>
    <t>TUNA,FRESH,SKIPJACK,RAW</t>
  </si>
  <si>
    <t>TURBOT,EUROPEAN,RAW</t>
  </si>
  <si>
    <t>WHITEFISH,MXD SP,RAW</t>
  </si>
  <si>
    <t>WHITEFISH,MXD SP,SMOKED</t>
  </si>
  <si>
    <t>WHITING,MIXED SPECIES,RAW</t>
  </si>
  <si>
    <t>WOLFFISH,ATLANTIC,RAW</t>
  </si>
  <si>
    <t>YELLOWTAIL,MXD SP,RAW</t>
  </si>
  <si>
    <t>1 leg</t>
  </si>
  <si>
    <t>1 crab</t>
  </si>
  <si>
    <t>CRAB,BLUE,CRAB CAKES</t>
  </si>
  <si>
    <t>1 cake</t>
  </si>
  <si>
    <t>CRAB,DUNGENESS,RAW</t>
  </si>
  <si>
    <t>CRAB,QUEEN,RAW</t>
  </si>
  <si>
    <t>CRAYFISH,MXD SP,WILD,RAW</t>
  </si>
  <si>
    <t>8 crayfish</t>
  </si>
  <si>
    <t>1 cup, with hulls edible yield</t>
  </si>
  <si>
    <t>ACORNS,RAW</t>
  </si>
  <si>
    <t>1 cup, ground</t>
  </si>
  <si>
    <t>ALMOND PASTE</t>
  </si>
  <si>
    <t>1 cup,  firmly packed</t>
  </si>
  <si>
    <t>BEECHNUTS,DRIED</t>
  </si>
  <si>
    <t>BRAZILNUTS,DRIED,UNBLANCHED</t>
  </si>
  <si>
    <t>BUTTERNUTS,DRIED</t>
  </si>
  <si>
    <t>CHESTNUTS,CHINESE,RAW</t>
  </si>
  <si>
    <t>HAZELNUTS OR FILBERTS</t>
  </si>
  <si>
    <t>CATFISH,CHANNEL,FARMED,RAW</t>
  </si>
  <si>
    <t>CRAYFISH,MXD SP,FARMED,RAW</t>
  </si>
  <si>
    <t>PEANUTS,SPANISH,RAW</t>
  </si>
  <si>
    <t>PEANUTS,VALENCIA,RAW</t>
  </si>
  <si>
    <t>PEANUTS,VIRGINIA,RAW</t>
  </si>
  <si>
    <t>1 leaf</t>
  </si>
  <si>
    <t>1 artichoke,  medium</t>
  </si>
  <si>
    <t>1 sprout</t>
  </si>
  <si>
    <t>BUTTERBUR,(FUKI),RAW</t>
  </si>
  <si>
    <t>CABBAGE,RAW</t>
  </si>
  <si>
    <t>CABBAGE,RED,RAW</t>
  </si>
  <si>
    <t>CARROTS,RAW</t>
  </si>
  <si>
    <t>CAULIFLOWER,RAW</t>
  </si>
  <si>
    <t>1 cup, pieces</t>
  </si>
  <si>
    <t>CELERY,RAW</t>
  </si>
  <si>
    <t>CHIVES,RAW</t>
  </si>
  <si>
    <t>1 tbsp, chopped</t>
  </si>
  <si>
    <t>BAGELS,EGG</t>
  </si>
  <si>
    <t>BAGELS,CINNAMON-RAISIN</t>
  </si>
  <si>
    <t>BAGELS,OAT BRAN</t>
  </si>
  <si>
    <t>1 piece,  (1/10 of cake)</t>
  </si>
  <si>
    <t>COOKIES,BROWNIES,COMMLY PREP</t>
  </si>
  <si>
    <t>COOKIES,CHOCOLATE WAFERS</t>
  </si>
  <si>
    <t>COOKIES,FIG BARS</t>
  </si>
  <si>
    <t>COOKIES,FORTUNE</t>
  </si>
  <si>
    <t>COOKIES,GINGERSNAPS</t>
  </si>
  <si>
    <t>ALCOHOLIC BEV,WINE,TABLE,RED</t>
  </si>
  <si>
    <t>ALCOHOLIC BEV,WINE,TABLE,WHITE</t>
  </si>
  <si>
    <t>CARBONATED BEV,CLUB SODA</t>
  </si>
  <si>
    <t>CARBONATED BEV,GINGER ALE</t>
  </si>
  <si>
    <t>CARBONATED BEV,GRAPE SODA</t>
  </si>
  <si>
    <t>CARBONATED BEV,ORANGE</t>
  </si>
  <si>
    <t>1 serving,  8.3 fl oz can</t>
  </si>
  <si>
    <t>CARBONATED BEV,TONIC H2O</t>
  </si>
  <si>
    <t>CARBONATED BEV,ROOT BEER</t>
  </si>
  <si>
    <t>1 muffin</t>
  </si>
  <si>
    <t>ENGLISH MUFFINS,WHEAT</t>
  </si>
  <si>
    <t>PANCAKES,PLN,PREP FROM RECIPE</t>
  </si>
  <si>
    <t>ANCHOVY,EUROPEAN,RAW</t>
  </si>
  <si>
    <t>1 fillet</t>
  </si>
  <si>
    <t>SALMON,ATLANTIC,WILD,RAW</t>
  </si>
  <si>
    <t>SALMON,CHINOOK,RAW</t>
  </si>
  <si>
    <t>SALMON,CHUM,RAW</t>
  </si>
  <si>
    <t>SALMON,COHO,WILD,RAW</t>
  </si>
  <si>
    <t>SALMON,SOCKEYE,RAW</t>
  </si>
  <si>
    <t>SCUP,RAW</t>
  </si>
  <si>
    <t>SHAD,AMERICAN,RAW</t>
  </si>
  <si>
    <t>SHARK,MIXED SPECIES,RAW</t>
  </si>
  <si>
    <t>SHEEPSHEAD,RAW</t>
  </si>
  <si>
    <t>SMELT,RAINBOW,RAW</t>
  </si>
  <si>
    <t>SNAPPER,MIXED SPECIES,RAW</t>
  </si>
  <si>
    <t>LOBSTER,NORTHERN,RAW</t>
  </si>
  <si>
    <t>1 lobster</t>
  </si>
  <si>
    <t>SHRIMP,MIXED SPECIES,RAW</t>
  </si>
  <si>
    <t>SPINY LOBSTER,MXD SP,RAW</t>
  </si>
  <si>
    <t>ABALONE,MIXED SPECIES,RAW</t>
  </si>
  <si>
    <t>CLAM,MIXED SPECIES,RAW</t>
  </si>
  <si>
    <t>1 cup,  (with liquid and clams)</t>
  </si>
  <si>
    <t>CUTTLEFISH,MXD SP,RAW</t>
  </si>
  <si>
    <t>MUSSEL,BLUE,RAW</t>
  </si>
  <si>
    <t>OCTOPUS,COMMON,RAW</t>
  </si>
  <si>
    <t>OYSTER,EASTERN,WILD,RAW</t>
  </si>
  <si>
    <t>6 medium</t>
  </si>
  <si>
    <t>SCALLOP,MIXED SPECIES,RAW</t>
  </si>
  <si>
    <t>1 unit,  2 large or 5 small</t>
  </si>
  <si>
    <t>SQUID,MIXED SPECIES,RAW</t>
  </si>
  <si>
    <t>WHELK,UNSPECIFIED,RAW</t>
  </si>
  <si>
    <t>CHEX MIX</t>
  </si>
  <si>
    <t>POPCORN,OIL-POPPED</t>
  </si>
  <si>
    <t>POTATO CHIPS,BARBECUE-FLAVOR</t>
  </si>
  <si>
    <t>PRETZELS,HARD,PLN,SALTED</t>
  </si>
  <si>
    <t>10 twists</t>
  </si>
  <si>
    <t>RICE CAKES,BROWN RICE,PLN</t>
  </si>
  <si>
    <t>TORTILLA CHIPS,PLAIN</t>
  </si>
  <si>
    <t>TRAIL MIX,REGULAR</t>
  </si>
  <si>
    <t>1 serving, 6 pieces</t>
  </si>
  <si>
    <t>CANDIES,ALMOND JOY CANDY BAR</t>
  </si>
  <si>
    <t>1 package, 1.76 oz</t>
  </si>
  <si>
    <t>18 pieces</t>
  </si>
  <si>
    <t>1 serving, 2.1 oz bar</t>
  </si>
  <si>
    <t>PEANUTS,ALL TYPES,RAW</t>
  </si>
  <si>
    <t>1 serving, 5 mints</t>
  </si>
  <si>
    <t>1 bar,  (2 oz)</t>
  </si>
  <si>
    <t>1 serving, fun size (8 chews)</t>
  </si>
  <si>
    <t>1 serving, 1.0 oz tube</t>
  </si>
  <si>
    <t>1 serving, 2.13 oz bar</t>
  </si>
  <si>
    <t>1 package,  (2 oz)</t>
  </si>
  <si>
    <t>1 package,  (1.89 oz, 2 bars)</t>
  </si>
  <si>
    <t>1 bar, 1.7 oz</t>
  </si>
  <si>
    <t>CANDIES,YORK BITES</t>
  </si>
  <si>
    <t>15 pieces</t>
  </si>
  <si>
    <t>1 serving, 2.17 oz pack</t>
  </si>
  <si>
    <t>BANANA CHIPS</t>
  </si>
  <si>
    <t>CORNNUTS,BARBECUE-FLAVOR</t>
  </si>
  <si>
    <t>CORNNUTS,NACHO-FLAVOR</t>
  </si>
  <si>
    <t>VEAL,SIRLOIN,LN&amp;FAT,RAW</t>
  </si>
  <si>
    <t>GAME MEAT,ANTELOPE,RAW</t>
  </si>
  <si>
    <t>GAME MEAT,BEAR,RAW</t>
  </si>
  <si>
    <t>GAME MEAT,BEAVER,RAW</t>
  </si>
  <si>
    <t>GAME MEAT,BEAVER,CKD,RSTD</t>
  </si>
  <si>
    <t>GAME MEAT,BISON,LN,RAW</t>
  </si>
  <si>
    <t>GAME MEAT,BOAR,WILD,RAW</t>
  </si>
  <si>
    <t>GAME MEAT,BUFFALO,H2O,RAW</t>
  </si>
  <si>
    <t>GAME MEAT,CARIBOU,RAW</t>
  </si>
  <si>
    <t>GAME MEAT,DEER,RAW</t>
  </si>
  <si>
    <t>GAME MEAT,ELK,RAW</t>
  </si>
  <si>
    <t>GOAT,RAW</t>
  </si>
  <si>
    <t>GAME MEAT,HORSE,RAW</t>
  </si>
  <si>
    <t>GAME MEAT,MOOSE,RAW</t>
  </si>
  <si>
    <t>GAME MEAT,MUSKRAT,RAW</t>
  </si>
  <si>
    <t>GAME MEAT,OPOSSUM,CKD,RSTD</t>
  </si>
  <si>
    <t>GAME MEAT,RABBIT,WILD,RAW</t>
  </si>
  <si>
    <t>GAME MEAT,RABBIT,WILD,CKD,STWD</t>
  </si>
  <si>
    <t>VEAL,LOIN,LN&amp;FAT,RAW</t>
  </si>
  <si>
    <t>VEAL,RIB,LN&amp;FAT,RAW</t>
  </si>
  <si>
    <t>NOODLES,EGG,DRY,ENRICHED</t>
  </si>
  <si>
    <t>NOODLES,CHINESE,CHOW MEIN</t>
  </si>
  <si>
    <t>NOODLES,JAPANESE,SOBA,DRY</t>
  </si>
  <si>
    <t>NOODLES,JAPANESE,SOMEN,DRY</t>
  </si>
  <si>
    <t>SPAGHETTI,DRY,ENRICHED</t>
  </si>
  <si>
    <t>BREAD,CRACKED-WHEAT</t>
  </si>
  <si>
    <t>BREAD,EGG</t>
  </si>
  <si>
    <t>BREAD,ITALIAN</t>
  </si>
  <si>
    <t>BREAD,OAT BRAN</t>
  </si>
  <si>
    <t>BREAD,OATMEAL</t>
  </si>
  <si>
    <t>BREAD,PITA,WHITE,ENRICHED</t>
  </si>
  <si>
    <t>1 pita,  large (6-1/2" dia)</t>
  </si>
  <si>
    <t>BREAD,PUMPERNICKEL</t>
  </si>
  <si>
    <t>BREAD,RAISIN,ENRICHED</t>
  </si>
  <si>
    <t>BREAD,RICE BRAN</t>
  </si>
  <si>
    <t>BREAD,WHEAT</t>
  </si>
  <si>
    <t>BREAD,WHEAT BRAN</t>
  </si>
  <si>
    <t>BREAD,WHEAT GERM</t>
  </si>
  <si>
    <t>1 cup, crumbs</t>
  </si>
  <si>
    <t>BREAD STICKS,PLAIN</t>
  </si>
  <si>
    <t>CAKE,ANGELFOOD,COMMLY PREP</t>
  </si>
  <si>
    <t>1 piece,  (1/12 of 12 oz cake)</t>
  </si>
  <si>
    <t>COFFEECAKE,CHEESE</t>
  </si>
  <si>
    <t>COFFEECAKE,FRUIT</t>
  </si>
  <si>
    <t>COOKIES,RAISIN,SOFT-TYPE</t>
  </si>
  <si>
    <t>CRACKERS,CHEESE,REGULAR</t>
  </si>
  <si>
    <t>1 cup, bite size</t>
  </si>
  <si>
    <t>1 toast</t>
  </si>
  <si>
    <t>CRACKERS,MILK</t>
  </si>
  <si>
    <t>CRACKERS,RUSK TOAST</t>
  </si>
  <si>
    <t>1 rusk</t>
  </si>
  <si>
    <t>CRACKERS,RYE,WAFERS,PLAIN</t>
  </si>
  <si>
    <t>CROISSANTS,BUTTER</t>
  </si>
  <si>
    <t>CROISSANTS,APPLE</t>
  </si>
  <si>
    <t>CROISSANTS,CHEESE</t>
  </si>
  <si>
    <t>CROUTONS,PLAIN</t>
  </si>
  <si>
    <t>DANISH PASTRY,CINN,ENR</t>
  </si>
  <si>
    <t>DANISH PASTRY,CHEESE</t>
  </si>
  <si>
    <t>1 pastry</t>
  </si>
  <si>
    <t>DANISH PASTRY,FRUIT,ENR</t>
  </si>
  <si>
    <t>BREAD,PITA,WHITE,UNENR</t>
  </si>
  <si>
    <t>BREAD,RAISIN,UNENRICHED</t>
  </si>
  <si>
    <t>BLUEFISH,RAW</t>
  </si>
  <si>
    <t>BURBOT,RAW</t>
  </si>
  <si>
    <t>BUTTERFISH,RAW</t>
  </si>
  <si>
    <t>CARP,RAW</t>
  </si>
  <si>
    <t>CAVIAR,BLACK&amp;RED,GRANULAR</t>
  </si>
  <si>
    <t>CISCO,RAW</t>
  </si>
  <si>
    <t>CROAKER,ATLANTIC,RAW</t>
  </si>
  <si>
    <t>CUSK,RAW</t>
  </si>
  <si>
    <t>DOLPHINFISH,RAW</t>
  </si>
  <si>
    <t>DRUM,FRESHWATER,RAW</t>
  </si>
  <si>
    <t>EEL,MIXED SPECIES,RAW</t>
  </si>
  <si>
    <t>FISH PORTIONS&amp;STKS,FRZ,PREHTD</t>
  </si>
  <si>
    <t>GROUPER,MIXED SPECIES,RAW</t>
  </si>
  <si>
    <t>HALIBUT,ATLANTIC&amp;PACIFIC,RAW</t>
  </si>
  <si>
    <t>HERRING,ATLANTIC,RAW</t>
  </si>
  <si>
    <t>LING,RAW</t>
  </si>
  <si>
    <t>LINGCOD,RAW</t>
  </si>
  <si>
    <t>MILKFISH,RAW</t>
  </si>
  <si>
    <t>MONKFISH,RAW</t>
  </si>
  <si>
    <t>MULLET,STRIPED,RAW</t>
  </si>
  <si>
    <t>OCEAN PERCH,ATLANTIC,RAW</t>
  </si>
  <si>
    <t>POUT,OCEAN,RAW</t>
  </si>
  <si>
    <t>PERCH,MIXED SPECIES,RAW</t>
  </si>
  <si>
    <t>POLLOCK,ATLANTIC,RAW</t>
  </si>
  <si>
    <t>POMPANO,FLORIDA,RAW</t>
  </si>
  <si>
    <t>ROCKFISH,PACIFIC,MXD SP,RAW</t>
  </si>
  <si>
    <t>ROE,MIXED SPECIES,RAW</t>
  </si>
  <si>
    <t>ROUGHY,ORANGE,RAW</t>
  </si>
  <si>
    <t>SABLEFISH,RAW</t>
  </si>
  <si>
    <t>WAFFLES,BTTRMLK,FRZ,RTH</t>
  </si>
  <si>
    <t>CORNNUTS,PLAIN</t>
  </si>
  <si>
    <t>CRISPED RICE BAR,CHOC CHIP</t>
  </si>
  <si>
    <t>1 bar,  (1 oz)</t>
  </si>
  <si>
    <t>GRANOLA BARS,HARD,PLAIN</t>
  </si>
  <si>
    <t>1 bar,  (1.5 oz)</t>
  </si>
  <si>
    <t>ICE CREAMS,VANILLA</t>
  </si>
  <si>
    <t>CANDIES,5TH AVENUE CANDY BAR</t>
  </si>
  <si>
    <t>1 bar,  2 oz</t>
  </si>
  <si>
    <t>CANDIES,JELLYBEANS</t>
  </si>
  <si>
    <t>10 small</t>
  </si>
  <si>
    <t>CANDIES,KIT KAT WAFER BAR</t>
  </si>
  <si>
    <t>CANDIES,KRACKEL CHOC BAR</t>
  </si>
  <si>
    <t>1 bar, 1.45 oz</t>
  </si>
  <si>
    <t>1 bar, 2 oz</t>
  </si>
  <si>
    <t>CANDIES,MARSHMALLOWS</t>
  </si>
  <si>
    <t>1 cup,  of miniature</t>
  </si>
  <si>
    <t>CANDIES,HALAVAH,PLAIN</t>
  </si>
  <si>
    <t xml:space="preserve">Conversion tool (ENTER value): </t>
  </si>
  <si>
    <t>Weight</t>
  </si>
  <si>
    <t>1 serving, 1.4 oz bar</t>
  </si>
  <si>
    <t>CANDIES,MILK CHOC</t>
  </si>
  <si>
    <t>CANDIES,MILK CHOC COATD PNUTS</t>
  </si>
  <si>
    <t>10 pieces</t>
  </si>
  <si>
    <t>CANDIES,MILK CHOC COATD RAISINS</t>
  </si>
  <si>
    <t>SYRUPS,TABLE BLENDS,PANCAKE</t>
  </si>
  <si>
    <t>CANDIES,SKOR TOFFEE BAR</t>
  </si>
  <si>
    <t>1 bar, 1.4 oz</t>
  </si>
  <si>
    <t>1 serving, 1 singles bag</t>
  </si>
  <si>
    <t>CANDIES,MR. GOODBAR CHOC BAR</t>
  </si>
  <si>
    <t>1 bar,  (1.75 oz)</t>
  </si>
  <si>
    <t>1 serving, 1.30 oz bar</t>
  </si>
  <si>
    <t>1 serving, 5 pieces</t>
  </si>
  <si>
    <t>1 serving, 1.3 oz bar</t>
  </si>
  <si>
    <t>ICE CREAMS,CHOC</t>
  </si>
  <si>
    <t>ICE CREAMS,STRAWBERRY</t>
  </si>
  <si>
    <t>HONEY</t>
  </si>
  <si>
    <t>JAMS AND PRESERVES</t>
  </si>
  <si>
    <t>JELLIES</t>
  </si>
  <si>
    <t>Fish/Seafood</t>
  </si>
  <si>
    <t>Fats/oil/dressings</t>
  </si>
  <si>
    <t>Snacks/sweets</t>
  </si>
  <si>
    <t>Poultry</t>
  </si>
  <si>
    <t>Dairy/Egg</t>
  </si>
  <si>
    <t>Soups/Sauces</t>
  </si>
  <si>
    <t>Nuts/Seeds</t>
  </si>
  <si>
    <t>Pork</t>
  </si>
  <si>
    <t>Beverages</t>
  </si>
  <si>
    <t>Database</t>
  </si>
  <si>
    <t>Nuts_Seeds</t>
  </si>
  <si>
    <t>Fish_Seafood</t>
  </si>
  <si>
    <t>Fats_oil_dressings</t>
  </si>
  <si>
    <t>Dairy_Egg</t>
  </si>
  <si>
    <t>Snacks_sweets</t>
  </si>
  <si>
    <t>Soups_Sauces</t>
  </si>
  <si>
    <t>Database:</t>
  </si>
  <si>
    <t>Item</t>
  </si>
  <si>
    <t>Serving</t>
  </si>
  <si>
    <t>Totals</t>
  </si>
  <si>
    <t>%</t>
  </si>
  <si>
    <t>Daily Macronutrient</t>
  </si>
  <si>
    <t>Total</t>
  </si>
  <si>
    <t>Target</t>
  </si>
  <si>
    <t>RICE,WHITE,SHORT-GRAIN,RAW</t>
  </si>
  <si>
    <t>RICE,WHITE,GLUTINOUS,RAW</t>
  </si>
  <si>
    <t>WILD RICE,RAW</t>
  </si>
  <si>
    <t>PASTA,CORN,DRY</t>
  </si>
  <si>
    <t>4.5 oz</t>
  </si>
  <si>
    <t>MACARONI,DRY,ENR</t>
  </si>
  <si>
    <t>1 cup, elbow shaped</t>
  </si>
  <si>
    <t>grams</t>
  </si>
  <si>
    <t xml:space="preserve">Serving Units: </t>
  </si>
  <si>
    <t>SOUP,BEAN W/ PORK</t>
  </si>
  <si>
    <t>SOUP,BEAN W/FRANKFURTERS</t>
  </si>
  <si>
    <t>SOUP,CREAM OF CELERY</t>
  </si>
  <si>
    <t>SOUP,CREAM OF CHICKEN</t>
  </si>
  <si>
    <t>SOUP,CHICKEN,CANNED,CHUNKY</t>
  </si>
  <si>
    <t>SOUP,CHILI BEEF</t>
  </si>
  <si>
    <t>SOUP,CRAB</t>
  </si>
  <si>
    <t>SOUP,ESCAROLE</t>
  </si>
  <si>
    <t>SOUP,LENTIL W/HAM</t>
  </si>
  <si>
    <t>SOUP,ONION</t>
  </si>
  <si>
    <t>SOUP,CREAM OF MUSHROOM</t>
  </si>
  <si>
    <t>SOUP,PEA</t>
  </si>
  <si>
    <t>SOUP,PEPPERPOT</t>
  </si>
  <si>
    <t>SOUP,CREAM OF POTATO</t>
  </si>
  <si>
    <t>SOUP,TOMATO RICE</t>
  </si>
  <si>
    <t>SOUP,TURKEY,CHUNKY</t>
  </si>
  <si>
    <t>SOUP,CHUNKY VEGETABLE</t>
  </si>
  <si>
    <t>SAUCE,TERIYAKI</t>
  </si>
  <si>
    <t>GRAVY,MUSHROOM</t>
  </si>
  <si>
    <t>SOUP,BEEF MUSHROOM</t>
  </si>
  <si>
    <t>SOUP,CHICKEN MUSHROOM</t>
  </si>
  <si>
    <t>SAUCE,PIZZA</t>
  </si>
  <si>
    <t>SAUCE,HOISIN</t>
  </si>
  <si>
    <t>SAUCE,OYSTER</t>
  </si>
  <si>
    <t>SAUCE,FISH</t>
  </si>
  <si>
    <t>SOUP,CREAM OF ONION</t>
  </si>
  <si>
    <t>SOUP,OYSTER STEW</t>
  </si>
  <si>
    <t>SAUCE,WHITE PASTA</t>
  </si>
  <si>
    <t>SAUCE,SWT &amp; SOUR</t>
  </si>
  <si>
    <t>SOUP,TOMATO BISQUE</t>
  </si>
  <si>
    <t>SOUP,BEAN W/BACON</t>
  </si>
  <si>
    <t>SOUP,BEEF STROGANOFF</t>
  </si>
  <si>
    <t>BOLOGNA,BEEF</t>
  </si>
  <si>
    <t>BOLOGNA,BEEF &amp; PORK</t>
  </si>
  <si>
    <t>BRATWURST,PORK,COOKED</t>
  </si>
  <si>
    <t>BROTWURST,PORK,BEEF,LINK</t>
  </si>
  <si>
    <t>CHICKEN ROLL  LIGHT MEAT</t>
  </si>
  <si>
    <t>FRANKFURTER  BEEF</t>
  </si>
  <si>
    <t>FRANKFURTER  BEEF &amp; PORK</t>
  </si>
  <si>
    <t>FRANKFURTER,CHICKEN</t>
  </si>
  <si>
    <t>KIELBASA,KOLBASSY,PORK,BEEF</t>
  </si>
  <si>
    <t>PEPPERED LOAF  PORK  BEEF</t>
  </si>
  <si>
    <t>PORK SAUSAGE,FRESH,RAW</t>
  </si>
  <si>
    <t>TURKEY SAUSAGE,RED FAT</t>
  </si>
  <si>
    <t>SALAMI  COOKED  BEEF</t>
  </si>
  <si>
    <t>SALAMI,COOKD,BEEF&amp;PORK</t>
  </si>
  <si>
    <t>SALAMI,DRY OR HARD,PORK,BEEF</t>
  </si>
  <si>
    <t>SMOKED LINK SAUSAGE,PORK&amp;BEEF</t>
  </si>
  <si>
    <t>LUNCHEON SAUSAGE,PORK&amp;BEEF</t>
  </si>
  <si>
    <t>BRATWURST  BEEF &amp; PORK  SMOKED</t>
  </si>
  <si>
    <t>BRATWURST,CHICKEN,CKD</t>
  </si>
  <si>
    <t>CEREALS GRANOLA,HOMEMADE</t>
  </si>
  <si>
    <t>CEREALS WAFFELOS</t>
  </si>
  <si>
    <t>CEREALS WHEAT GERM,TSTD,PLN</t>
  </si>
  <si>
    <t>GRAPEFRUIT,RAW,PINK &amp; RED</t>
  </si>
  <si>
    <t>GRAPES,RAW</t>
  </si>
  <si>
    <t>APRICOT NECTAR</t>
  </si>
  <si>
    <t>GRAPEFRUIT JUICE,WHITE, UNSWTND</t>
  </si>
  <si>
    <t>ORANGE JUICE, UNSWTND</t>
  </si>
  <si>
    <t>TANGERINE JUICE,SWTND</t>
  </si>
  <si>
    <t>Meal 2</t>
  </si>
  <si>
    <t>PASSION-FRUIT JUICE,PURPLE,RAW</t>
  </si>
  <si>
    <t>PASSION-FRUIT JUICE, RAW</t>
  </si>
  <si>
    <t>PEAR NECTAR</t>
  </si>
  <si>
    <t>ALCOHOLIC BEV,DAIQUIRI,PREPARED</t>
  </si>
  <si>
    <t>CARBONATED BEV,CREAM SODA</t>
  </si>
  <si>
    <t>CLAM&amp;TOMATO JUICE</t>
  </si>
  <si>
    <t xml:space="preserve">CRANBERRY-APPLE JUICE </t>
  </si>
  <si>
    <t>CRANBERRY-APRICOT JUICE</t>
  </si>
  <si>
    <t>CRANBERRY-GRAPE JUICE</t>
  </si>
  <si>
    <t>CITRUS FRUIT JUICE</t>
  </si>
  <si>
    <t>FRUIT PUNCH JUICE</t>
  </si>
  <si>
    <t>GRAPE JUICE DRINK</t>
  </si>
  <si>
    <t>LEMONADE</t>
  </si>
  <si>
    <t>CHOCOLATE MILKSHAKE</t>
  </si>
  <si>
    <t>VANILLA MILKSHAKE</t>
  </si>
  <si>
    <t>WATER,BOTTLED,PERRIER</t>
  </si>
  <si>
    <t>LIMA BEANS,RAW</t>
  </si>
  <si>
    <t>BEANS,NAVY, RAW</t>
  </si>
  <si>
    <t>LETTUCE,BUTTERHEAD, RAW</t>
  </si>
  <si>
    <t>LETTUCE,ICEBERG, RAW</t>
  </si>
  <si>
    <t>LETTUCE,GREEN LEAF,RAW</t>
  </si>
  <si>
    <t>POTATOES,WHITE,FLESH &amp; SKIN,RAW</t>
  </si>
  <si>
    <t>POTATOES,RED,FLESH &amp; SKIN,RAW</t>
  </si>
  <si>
    <t>SAUERKRAUT</t>
  </si>
  <si>
    <t>SQUASH,WINTER,BUTTERNUT,RAW</t>
  </si>
  <si>
    <t>TOMATOES,RED,RIPE,RAW</t>
  </si>
  <si>
    <t>YAMS,RAW</t>
  </si>
  <si>
    <t>PICKLES,SOUR</t>
  </si>
  <si>
    <t>SAFFLOWER SEED KERNELS,DRIED</t>
  </si>
  <si>
    <t>SUNFLOWER SEED KERNELS,DRIED</t>
  </si>
  <si>
    <t>CASHEW NUTS,RAW</t>
  </si>
  <si>
    <t>PINE NUTS,DRIED</t>
  </si>
  <si>
    <t>LAMB,FORESHANK,LN&amp;FAT,RAW</t>
  </si>
  <si>
    <t>&lt;=Select units</t>
  </si>
  <si>
    <t>pounds</t>
  </si>
  <si>
    <t>inches</t>
  </si>
  <si>
    <t>LAMB,LOIN,LN&amp;FAT,RAW</t>
  </si>
  <si>
    <t>LAMB,RIB,LN&amp;FAT,RAW</t>
  </si>
  <si>
    <t>BEEF,FLANK,LN&amp;FAT,0"FAT,RAW</t>
  </si>
  <si>
    <t>SEA BASS,MIXED SP,RAW</t>
  </si>
  <si>
    <t>SEATROUT,MIXED SP,RAW</t>
  </si>
  <si>
    <t>STURGEON,MIXED SP,RAW</t>
  </si>
  <si>
    <t xml:space="preserve">TUNA,LT,CND IN OIL,DRAINED </t>
  </si>
  <si>
    <t>CANDIES,SNICKERS BAR</t>
  </si>
  <si>
    <t>CANDIES,3 MUSKETEERS BAR</t>
  </si>
  <si>
    <t>CANDIES,DOVE MILK CHOC</t>
  </si>
  <si>
    <t>CAKE,SPONGE</t>
  </si>
  <si>
    <t>CAKE,POUND (BUTTER)</t>
  </si>
  <si>
    <t xml:space="preserve">CHEESECAKE </t>
  </si>
  <si>
    <t>COOKIES,BUTTER</t>
  </si>
  <si>
    <t>COOKIES,CHOC CHIP (SOFT-TYPE)</t>
  </si>
  <si>
    <t>COOKIES,COCONUT MACAROONS</t>
  </si>
  <si>
    <t>COOKIES,OATMEAL</t>
  </si>
  <si>
    <t>COOKIES,PEANUT BUTTER</t>
  </si>
  <si>
    <t>COOKIES,SUGAR</t>
  </si>
  <si>
    <t>CRACKERS,MELBA TOAST,PLAIN</t>
  </si>
  <si>
    <t>CANDIES,REESES PIECES CANDY</t>
  </si>
  <si>
    <t>Breads</t>
  </si>
  <si>
    <t>Pasta</t>
  </si>
  <si>
    <t>Meat</t>
  </si>
  <si>
    <t>Meat (Beef, Lamb, etc)</t>
  </si>
  <si>
    <t>Fruits</t>
  </si>
  <si>
    <t>Processed_Meat</t>
  </si>
  <si>
    <t>Carbs, grams</t>
  </si>
  <si>
    <t>Protein, grams</t>
  </si>
  <si>
    <t>Fat, grams</t>
  </si>
  <si>
    <t>Fiber, grams</t>
  </si>
  <si>
    <t>Manual Entry (Other)</t>
  </si>
  <si>
    <t>Date</t>
  </si>
  <si>
    <t xml:space="preserve">Carbs </t>
  </si>
  <si>
    <t>Surplus/Deficit</t>
  </si>
  <si>
    <t>BEANS,BAKED</t>
  </si>
  <si>
    <t>* TURKEY BACON</t>
  </si>
  <si>
    <t>CARBONATED BEV,COLA</t>
  </si>
  <si>
    <t>Actual</t>
  </si>
  <si>
    <t>CHEESE,CHEDDAR</t>
  </si>
  <si>
    <t>CHEESE,CHESHIRE</t>
  </si>
  <si>
    <t>CHEESE,COLBY</t>
  </si>
  <si>
    <t>4 oz</t>
  </si>
  <si>
    <t>CHEESE,CREAM</t>
  </si>
  <si>
    <t>CHEESE,FETA</t>
  </si>
  <si>
    <t>CHEESE,GOUDA</t>
  </si>
  <si>
    <t>CHEESE,GRUYERE</t>
  </si>
  <si>
    <t>CHEESE,MONTEREY</t>
  </si>
  <si>
    <t>CHEESE,PARMESAN,GRATED</t>
  </si>
  <si>
    <t>CHEESE,PARMESAN,HARD</t>
  </si>
  <si>
    <t>CHEESE,PROVOLONE</t>
  </si>
  <si>
    <t>CHEESE,ROMANO</t>
  </si>
  <si>
    <t>CHEESE,SWISS</t>
  </si>
  <si>
    <t>1 package,  (6 oz)</t>
  </si>
  <si>
    <t>EGGNOG</t>
  </si>
  <si>
    <t>1 fl oz</t>
  </si>
  <si>
    <t>pheasant</t>
  </si>
  <si>
    <t>pita, (6-1/2" dia)</t>
  </si>
  <si>
    <t>fruit, w/o skin &amp; seeds</t>
  </si>
  <si>
    <t>fruit, w/o refuse</t>
  </si>
  <si>
    <t>artichoke, med</t>
  </si>
  <si>
    <t>oysters, med</t>
  </si>
  <si>
    <t>unit, 2 lg or 5 sm</t>
  </si>
  <si>
    <t>1 tsp</t>
  </si>
  <si>
    <t>.25 cup</t>
  </si>
  <si>
    <t>1 cup,  (8 fl oz)</t>
  </si>
  <si>
    <t>1 large</t>
  </si>
  <si>
    <t>1 cup, chopped</t>
  </si>
  <si>
    <t>BUTTER,WITHOUT SALT</t>
  </si>
  <si>
    <t>CHEESE,PARMESAN,SHREDDED</t>
  </si>
  <si>
    <t>1 slice</t>
  </si>
  <si>
    <t>1 serving</t>
  </si>
  <si>
    <t>1 stick</t>
  </si>
  <si>
    <t>1 piece</t>
  </si>
  <si>
    <t>1 cookie</t>
  </si>
  <si>
    <t>1 cracker</t>
  </si>
  <si>
    <t>1 biscuit</t>
  </si>
  <si>
    <t>1 tablespoon</t>
  </si>
  <si>
    <t>OIL,WHEAT GERM</t>
  </si>
  <si>
    <t>OIL,VEG,COCOA BUTTER</t>
  </si>
  <si>
    <t>VEGETABLE OIL,PALM KERNEL</t>
  </si>
  <si>
    <t>OIL,VEGETABLE,POPPYSEED</t>
  </si>
  <si>
    <t>OIL,VEGETABLE,TOMATOSEED</t>
  </si>
  <si>
    <t>OIL,VEGETABLE,TEASEED</t>
  </si>
  <si>
    <t>OIL,VEGETABLE,GRAPESEED</t>
  </si>
  <si>
    <t>OIL,VEGETABLE,WALNUT</t>
  </si>
  <si>
    <t>OIL,VEGETABLE,ALMOND</t>
  </si>
  <si>
    <t>OIL,VEG,APRICOT KERNEL</t>
  </si>
  <si>
    <t>OIL,VEGETABLE,HAZELNUT</t>
  </si>
  <si>
    <t>OIL,VEGETABLE,BABASSU</t>
  </si>
  <si>
    <t>OIL,VEGETABLE,SHEANUT</t>
  </si>
  <si>
    <t>VEGETABLE OIL,MUSTARD</t>
  </si>
  <si>
    <t>Calories</t>
  </si>
  <si>
    <t>Fat</t>
  </si>
  <si>
    <t>Carbs</t>
  </si>
  <si>
    <t>Fiber</t>
  </si>
  <si>
    <t xml:space="preserve">Name: </t>
  </si>
  <si>
    <t>Meal 2 (Snack/Post workout)</t>
  </si>
  <si>
    <t>Meal 4 (Snack/Post workout)</t>
  </si>
  <si>
    <t>Meal 6 (Snack/Post workout)</t>
  </si>
  <si>
    <t>Meal 1 (Breakfast)</t>
  </si>
  <si>
    <t>Meal 3 (Lunch)</t>
  </si>
  <si>
    <t>Meal 5 (Dinner)</t>
  </si>
  <si>
    <t>Male</t>
  </si>
  <si>
    <t>BEST NUTRITION CALCULATOR FOR MALE&amp;FEMALE FOR MUSCLE GAIN &amp; FATLOSS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</si>
</sst>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0\ &quot;oz.&quot;"/>
    <numFmt numFmtId="166" formatCode="0.0%"/>
    <numFmt numFmtId="167" formatCode="0\ &quot;g&quot;"/>
    <numFmt numFmtId="168" formatCode="0.0\ &quot;g&quot;"/>
  </numFmts>
  <fonts count="23">
    <font>
      <sz val="10"/>
      <name val="MS Sans Serif"/>
    </font>
    <font>
      <sz val="10"/>
      <name val="MS Sans Serif"/>
      <family val="2"/>
    </font>
    <font>
      <sz val="8"/>
      <name val="MS Sans Serif"/>
      <family val="2"/>
    </font>
    <font>
      <sz val="10"/>
      <name val="Arial"/>
      <family val="2"/>
    </font>
    <font>
      <b/>
      <sz val="10"/>
      <name val="Arial"/>
      <family val="2"/>
    </font>
    <font>
      <sz val="10"/>
      <color indexed="8"/>
      <name val="Arial"/>
      <family val="2"/>
    </font>
    <font>
      <b/>
      <sz val="10"/>
      <color indexed="18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b/>
      <sz val="9"/>
      <color indexed="18"/>
      <name val="Arial"/>
      <family val="2"/>
    </font>
    <font>
      <sz val="9"/>
      <name val="Arial"/>
      <family val="2"/>
    </font>
    <font>
      <sz val="8"/>
      <color indexed="18"/>
      <name val="Arial"/>
      <family val="2"/>
    </font>
    <font>
      <b/>
      <sz val="14"/>
      <name val="Arial"/>
      <family val="2"/>
    </font>
    <font>
      <b/>
      <sz val="12"/>
      <color indexed="18"/>
      <name val="Arial"/>
      <family val="2"/>
    </font>
    <font>
      <b/>
      <sz val="8"/>
      <color indexed="10"/>
      <name val="Arial"/>
      <family val="2"/>
    </font>
    <font>
      <sz val="12"/>
      <color indexed="18"/>
      <name val="Arial"/>
      <family val="2"/>
    </font>
    <font>
      <b/>
      <sz val="12"/>
      <name val="Arial"/>
      <family val="2"/>
    </font>
    <font>
      <b/>
      <sz val="9"/>
      <name val="Arial"/>
      <family val="2"/>
    </font>
    <font>
      <sz val="9"/>
      <color indexed="81"/>
      <name val="Tahoma"/>
      <family val="2"/>
    </font>
    <font>
      <b/>
      <sz val="8"/>
      <color indexed="18"/>
      <name val="Arial"/>
      <family val="2"/>
    </font>
    <font>
      <b/>
      <sz val="10"/>
      <color indexed="47"/>
      <name val="Arial"/>
      <family val="2"/>
    </font>
    <font>
      <sz val="10"/>
      <color indexed="47"/>
      <name val="Arial"/>
      <family val="2"/>
    </font>
    <font>
      <b/>
      <sz val="30"/>
      <color theme="0"/>
      <name val="Rosewood Std Regular"/>
      <family val="5"/>
    </font>
  </fonts>
  <fills count="10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4" tint="0.39997558519241921"/>
        <bgColor indexed="64"/>
      </patternFill>
    </fill>
  </fills>
  <borders count="69">
    <border>
      <left/>
      <right/>
      <top/>
      <bottom/>
      <diagonal/>
    </border>
    <border>
      <left style="medium">
        <color indexed="23"/>
      </left>
      <right style="medium">
        <color indexed="9"/>
      </right>
      <top style="medium">
        <color indexed="23"/>
      </top>
      <bottom style="medium">
        <color indexed="9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 style="thick">
        <color indexed="23"/>
      </left>
      <right/>
      <top/>
      <bottom/>
      <diagonal/>
    </border>
    <border>
      <left/>
      <right style="thick">
        <color indexed="9"/>
      </right>
      <top/>
      <bottom/>
      <diagonal/>
    </border>
    <border>
      <left style="thick">
        <color indexed="23"/>
      </left>
      <right/>
      <top style="thick">
        <color indexed="23"/>
      </top>
      <bottom style="medium">
        <color indexed="9"/>
      </bottom>
      <diagonal/>
    </border>
    <border>
      <left/>
      <right style="thick">
        <color indexed="9"/>
      </right>
      <top style="thick">
        <color indexed="23"/>
      </top>
      <bottom style="medium">
        <color indexed="9"/>
      </bottom>
      <diagonal/>
    </border>
    <border>
      <left style="thick">
        <color indexed="23"/>
      </left>
      <right/>
      <top style="medium">
        <color indexed="23"/>
      </top>
      <bottom/>
      <diagonal/>
    </border>
    <border>
      <left/>
      <right/>
      <top style="thick">
        <color indexed="23"/>
      </top>
      <bottom style="medium">
        <color indexed="9"/>
      </bottom>
      <diagonal/>
    </border>
    <border>
      <left style="thick">
        <color indexed="23"/>
      </left>
      <right/>
      <top style="medium">
        <color indexed="23"/>
      </top>
      <bottom style="medium">
        <color indexed="9"/>
      </bottom>
      <diagonal/>
    </border>
    <border>
      <left style="thick">
        <color indexed="23"/>
      </left>
      <right/>
      <top style="medium">
        <color indexed="23"/>
      </top>
      <bottom style="thick">
        <color indexed="9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medium">
        <color indexed="55"/>
      </left>
      <right style="medium">
        <color indexed="9"/>
      </right>
      <top style="medium">
        <color indexed="55"/>
      </top>
      <bottom/>
      <diagonal/>
    </border>
    <border>
      <left style="medium">
        <color indexed="55"/>
      </left>
      <right style="thick">
        <color indexed="9"/>
      </right>
      <top style="medium">
        <color indexed="55"/>
      </top>
      <bottom/>
      <diagonal/>
    </border>
    <border>
      <left style="medium">
        <color indexed="9"/>
      </left>
      <right style="medium">
        <color indexed="55"/>
      </right>
      <top style="medium">
        <color indexed="23"/>
      </top>
      <bottom style="medium">
        <color indexed="9"/>
      </bottom>
      <diagonal/>
    </border>
    <border>
      <left style="medium">
        <color indexed="55"/>
      </left>
      <right style="medium">
        <color indexed="9"/>
      </right>
      <top/>
      <bottom/>
      <diagonal/>
    </border>
    <border>
      <left style="medium">
        <color indexed="55"/>
      </left>
      <right style="thick">
        <color indexed="9"/>
      </right>
      <top/>
      <bottom/>
      <diagonal/>
    </border>
    <border>
      <left style="medium">
        <color indexed="55"/>
      </left>
      <right style="medium">
        <color indexed="9"/>
      </right>
      <top/>
      <bottom style="medium">
        <color indexed="9"/>
      </bottom>
      <diagonal/>
    </border>
    <border>
      <left style="medium">
        <color indexed="9"/>
      </left>
      <right style="medium">
        <color indexed="55"/>
      </right>
      <top/>
      <bottom style="medium">
        <color indexed="23"/>
      </bottom>
      <diagonal/>
    </border>
    <border>
      <left style="medium">
        <color indexed="55"/>
      </left>
      <right style="thick">
        <color indexed="9"/>
      </right>
      <top/>
      <bottom style="medium">
        <color indexed="9"/>
      </bottom>
      <diagonal/>
    </border>
    <border>
      <left style="thick">
        <color indexed="23"/>
      </left>
      <right style="medium">
        <color indexed="23"/>
      </right>
      <top style="medium">
        <color indexed="23"/>
      </top>
      <bottom/>
      <diagonal/>
    </border>
    <border>
      <left style="thick">
        <color indexed="23"/>
      </left>
      <right style="medium">
        <color indexed="23"/>
      </right>
      <top/>
      <bottom/>
      <diagonal/>
    </border>
    <border>
      <left style="thick">
        <color indexed="23"/>
      </left>
      <right style="medium">
        <color indexed="23"/>
      </right>
      <top/>
      <bottom style="medium">
        <color indexed="23"/>
      </bottom>
      <diagonal/>
    </border>
    <border>
      <left/>
      <right style="medium">
        <color indexed="55"/>
      </right>
      <top/>
      <bottom style="thin">
        <color indexed="23"/>
      </bottom>
      <diagonal/>
    </border>
    <border>
      <left/>
      <right style="medium">
        <color indexed="55"/>
      </right>
      <top style="thin">
        <color indexed="23"/>
      </top>
      <bottom style="thin">
        <color indexed="23"/>
      </bottom>
      <diagonal/>
    </border>
    <border>
      <left/>
      <right style="medium">
        <color indexed="55"/>
      </right>
      <top/>
      <bottom style="medium">
        <color indexed="23"/>
      </bottom>
      <diagonal/>
    </border>
    <border>
      <left style="medium">
        <color indexed="9"/>
      </left>
      <right style="medium">
        <color indexed="55"/>
      </right>
      <top/>
      <bottom style="thin">
        <color indexed="23"/>
      </bottom>
      <diagonal/>
    </border>
    <border>
      <left style="medium">
        <color indexed="9"/>
      </left>
      <right style="medium">
        <color indexed="55"/>
      </right>
      <top style="thin">
        <color indexed="23"/>
      </top>
      <bottom style="thin">
        <color indexed="23"/>
      </bottom>
      <diagonal/>
    </border>
    <border>
      <left/>
      <right/>
      <top style="medium">
        <color indexed="23"/>
      </top>
      <bottom style="medium">
        <color indexed="9"/>
      </bottom>
      <diagonal/>
    </border>
    <border>
      <left/>
      <right style="thick">
        <color indexed="9"/>
      </right>
      <top style="medium">
        <color indexed="23"/>
      </top>
      <bottom style="medium">
        <color indexed="9"/>
      </bottom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ck">
        <color indexed="23"/>
      </left>
      <right/>
      <top style="thick">
        <color indexed="23"/>
      </top>
      <bottom/>
      <diagonal/>
    </border>
    <border>
      <left/>
      <right/>
      <top style="thick">
        <color indexed="23"/>
      </top>
      <bottom/>
      <diagonal/>
    </border>
    <border>
      <left/>
      <right style="thick">
        <color indexed="9"/>
      </right>
      <top style="thick">
        <color indexed="23"/>
      </top>
      <bottom/>
      <diagonal/>
    </border>
    <border>
      <left style="thick">
        <color indexed="23"/>
      </left>
      <right/>
      <top style="medium">
        <color indexed="23"/>
      </top>
      <bottom style="medium">
        <color indexed="23"/>
      </bottom>
      <diagonal/>
    </border>
    <border>
      <left/>
      <right/>
      <top style="medium">
        <color indexed="23"/>
      </top>
      <bottom style="medium">
        <color indexed="2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 style="double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double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 style="thick">
        <color indexed="9"/>
      </right>
      <top style="medium">
        <color indexed="23"/>
      </top>
      <bottom style="medium">
        <color indexed="23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/>
      <top/>
      <bottom style="thin">
        <color indexed="23"/>
      </bottom>
      <diagonal/>
    </border>
    <border>
      <left/>
      <right/>
      <top style="thin">
        <color indexed="23"/>
      </top>
      <bottom style="thin">
        <color indexed="23"/>
      </bottom>
      <diagonal/>
    </border>
    <border>
      <left/>
      <right/>
      <top/>
      <bottom style="medium">
        <color indexed="23"/>
      </bottom>
      <diagonal/>
    </border>
    <border>
      <left style="medium">
        <color indexed="9"/>
      </left>
      <right style="medium">
        <color indexed="55"/>
      </right>
      <top style="medium">
        <color indexed="23"/>
      </top>
      <bottom/>
      <diagonal/>
    </border>
    <border>
      <left style="medium">
        <color indexed="9"/>
      </left>
      <right style="medium">
        <color indexed="55"/>
      </right>
      <top/>
      <bottom/>
      <diagonal/>
    </border>
    <border>
      <left style="medium">
        <color indexed="23"/>
      </left>
      <right/>
      <top style="medium">
        <color indexed="23"/>
      </top>
      <bottom style="medium">
        <color indexed="9"/>
      </bottom>
      <diagonal/>
    </border>
    <border>
      <left/>
      <right style="medium">
        <color indexed="9"/>
      </right>
      <top style="medium">
        <color indexed="23"/>
      </top>
      <bottom style="medium">
        <color indexed="9"/>
      </bottom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26">
    <xf numFmtId="0" fontId="0" fillId="0" borderId="0" xfId="0"/>
    <xf numFmtId="0" fontId="3" fillId="0" borderId="0" xfId="0" applyFont="1"/>
    <xf numFmtId="0" fontId="3" fillId="0" borderId="0" xfId="0" quotePrefix="1" applyNumberFormat="1" applyFont="1"/>
    <xf numFmtId="0" fontId="3" fillId="2" borderId="0" xfId="0" applyFont="1" applyFill="1"/>
    <xf numFmtId="0" fontId="3" fillId="2" borderId="0" xfId="0" applyFont="1" applyFill="1" applyBorder="1"/>
    <xf numFmtId="0" fontId="3" fillId="2" borderId="0" xfId="0" applyFont="1" applyFill="1" applyAlignment="1">
      <alignment horizontal="right"/>
    </xf>
    <xf numFmtId="0" fontId="4" fillId="2" borderId="0" xfId="0" applyFont="1" applyFill="1" applyAlignment="1">
      <alignment horizontal="right"/>
    </xf>
    <xf numFmtId="0" fontId="7" fillId="2" borderId="0" xfId="0" applyFont="1" applyFill="1"/>
    <xf numFmtId="0" fontId="3" fillId="0" borderId="1" xfId="0" applyFont="1" applyFill="1" applyBorder="1" applyAlignment="1" applyProtection="1">
      <alignment horizontal="center"/>
      <protection locked="0"/>
    </xf>
    <xf numFmtId="1" fontId="3" fillId="2" borderId="1" xfId="0" applyNumberFormat="1" applyFont="1" applyFill="1" applyBorder="1" applyAlignment="1" applyProtection="1">
      <alignment horizontal="center"/>
      <protection hidden="1"/>
    </xf>
    <xf numFmtId="1" fontId="4" fillId="2" borderId="1" xfId="0" applyNumberFormat="1" applyFont="1" applyFill="1" applyBorder="1" applyAlignment="1" applyProtection="1">
      <alignment horizontal="center"/>
      <protection hidden="1"/>
    </xf>
    <xf numFmtId="0" fontId="4" fillId="3" borderId="2" xfId="0" applyFont="1" applyFill="1" applyBorder="1" applyAlignment="1">
      <alignment horizontal="center"/>
    </xf>
    <xf numFmtId="0" fontId="3" fillId="2" borderId="3" xfId="0" applyFont="1" applyFill="1" applyBorder="1"/>
    <xf numFmtId="0" fontId="3" fillId="2" borderId="4" xfId="0" applyFont="1" applyFill="1" applyBorder="1"/>
    <xf numFmtId="0" fontId="6" fillId="3" borderId="5" xfId="0" applyFont="1" applyFill="1" applyBorder="1" applyAlignment="1">
      <alignment horizontal="center"/>
    </xf>
    <xf numFmtId="0" fontId="6" fillId="3" borderId="6" xfId="0" applyFont="1" applyFill="1" applyBorder="1" applyAlignment="1">
      <alignment horizontal="center"/>
    </xf>
    <xf numFmtId="0" fontId="8" fillId="2" borderId="7" xfId="0" applyFont="1" applyFill="1" applyBorder="1" applyAlignment="1">
      <alignment horizontal="center"/>
    </xf>
    <xf numFmtId="0" fontId="3" fillId="2" borderId="0" xfId="0" applyFont="1" applyFill="1" applyBorder="1" applyAlignment="1">
      <alignment horizontal="left"/>
    </xf>
    <xf numFmtId="0" fontId="10" fillId="0" borderId="1" xfId="0" applyFont="1" applyFill="1" applyBorder="1" applyAlignment="1" applyProtection="1">
      <alignment horizontal="center"/>
      <protection locked="0"/>
    </xf>
    <xf numFmtId="0" fontId="3" fillId="2" borderId="4" xfId="0" applyFont="1" applyFill="1" applyBorder="1" applyAlignment="1">
      <alignment horizontal="center"/>
    </xf>
    <xf numFmtId="0" fontId="4" fillId="0" borderId="0" xfId="0" applyFont="1" applyFill="1"/>
    <xf numFmtId="0" fontId="8" fillId="0" borderId="0" xfId="0" applyFont="1" applyFill="1" applyAlignment="1">
      <alignment horizontal="right"/>
    </xf>
    <xf numFmtId="0" fontId="3" fillId="2" borderId="0" xfId="0" applyFont="1" applyFill="1" applyBorder="1" applyAlignment="1">
      <alignment horizontal="center"/>
    </xf>
    <xf numFmtId="0" fontId="6" fillId="3" borderId="8" xfId="0" applyFont="1" applyFill="1" applyBorder="1" applyAlignment="1">
      <alignment horizontal="center"/>
    </xf>
    <xf numFmtId="0" fontId="4" fillId="2" borderId="9" xfId="0" applyFont="1" applyFill="1" applyBorder="1" applyAlignment="1">
      <alignment horizontal="center"/>
    </xf>
    <xf numFmtId="0" fontId="4" fillId="2" borderId="10" xfId="0" applyFont="1" applyFill="1" applyBorder="1" applyAlignment="1">
      <alignment horizontal="center"/>
    </xf>
    <xf numFmtId="0" fontId="3" fillId="0" borderId="11" xfId="0" applyFont="1" applyFill="1" applyBorder="1"/>
    <xf numFmtId="0" fontId="3" fillId="0" borderId="0" xfId="0" applyFont="1" applyFill="1" applyBorder="1"/>
    <xf numFmtId="0" fontId="3" fillId="0" borderId="12" xfId="0" applyFont="1" applyFill="1" applyBorder="1"/>
    <xf numFmtId="0" fontId="4" fillId="0" borderId="2" xfId="0" applyFont="1" applyFill="1" applyBorder="1" applyAlignment="1">
      <alignment horizontal="center"/>
    </xf>
    <xf numFmtId="0" fontId="4" fillId="0" borderId="13" xfId="0" applyFont="1" applyFill="1" applyBorder="1" applyAlignment="1">
      <alignment horizontal="center"/>
    </xf>
    <xf numFmtId="0" fontId="3" fillId="0" borderId="14" xfId="0" applyFont="1" applyFill="1" applyBorder="1"/>
    <xf numFmtId="0" fontId="3" fillId="0" borderId="15" xfId="0" applyFont="1" applyFill="1" applyBorder="1"/>
    <xf numFmtId="0" fontId="3" fillId="0" borderId="0" xfId="0" applyFont="1" applyFill="1"/>
    <xf numFmtId="0" fontId="8" fillId="2" borderId="16" xfId="0" applyNumberFormat="1" applyFont="1" applyFill="1" applyBorder="1" applyAlignment="1">
      <alignment horizontal="center"/>
    </xf>
    <xf numFmtId="0" fontId="8" fillId="2" borderId="0" xfId="0" applyNumberFormat="1" applyFont="1" applyFill="1" applyBorder="1" applyAlignment="1">
      <alignment horizontal="center"/>
    </xf>
    <xf numFmtId="0" fontId="8" fillId="2" borderId="17" xfId="0" applyNumberFormat="1" applyFont="1" applyFill="1" applyBorder="1" applyAlignment="1">
      <alignment horizontal="center"/>
    </xf>
    <xf numFmtId="0" fontId="8" fillId="2" borderId="18" xfId="0" applyNumberFormat="1" applyFont="1" applyFill="1" applyBorder="1" applyAlignment="1">
      <alignment horizontal="center"/>
    </xf>
    <xf numFmtId="9" fontId="3" fillId="2" borderId="0" xfId="1" applyFont="1" applyFill="1" applyAlignment="1">
      <alignment horizontal="left"/>
    </xf>
    <xf numFmtId="164" fontId="7" fillId="2" borderId="19" xfId="0" applyNumberFormat="1" applyFont="1" applyFill="1" applyBorder="1" applyAlignment="1" applyProtection="1">
      <alignment horizontal="center"/>
      <protection hidden="1"/>
    </xf>
    <xf numFmtId="164" fontId="7" fillId="2" borderId="0" xfId="0" applyNumberFormat="1" applyFont="1" applyFill="1" applyBorder="1" applyAlignment="1" applyProtection="1">
      <alignment horizontal="center"/>
      <protection hidden="1"/>
    </xf>
    <xf numFmtId="164" fontId="7" fillId="2" borderId="20" xfId="0" applyNumberFormat="1" applyFont="1" applyFill="1" applyBorder="1" applyAlignment="1" applyProtection="1">
      <alignment horizontal="center"/>
      <protection hidden="1"/>
    </xf>
    <xf numFmtId="164" fontId="7" fillId="2" borderId="21" xfId="0" applyNumberFormat="1" applyFont="1" applyFill="1" applyBorder="1" applyAlignment="1" applyProtection="1">
      <alignment horizontal="center"/>
      <protection hidden="1"/>
    </xf>
    <xf numFmtId="164" fontId="7" fillId="2" borderId="22" xfId="0" applyNumberFormat="1" applyFont="1" applyFill="1" applyBorder="1" applyAlignment="1" applyProtection="1">
      <alignment horizontal="center"/>
      <protection hidden="1"/>
    </xf>
    <xf numFmtId="164" fontId="7" fillId="2" borderId="23" xfId="0" applyNumberFormat="1" applyFont="1" applyFill="1" applyBorder="1" applyAlignment="1" applyProtection="1">
      <alignment horizontal="center"/>
      <protection hidden="1"/>
    </xf>
    <xf numFmtId="0" fontId="11" fillId="3" borderId="24" xfId="0" applyFont="1" applyFill="1" applyBorder="1" applyProtection="1">
      <protection locked="0"/>
    </xf>
    <xf numFmtId="0" fontId="11" fillId="3" borderId="25" xfId="0" applyFont="1" applyFill="1" applyBorder="1" applyProtection="1">
      <protection locked="0"/>
    </xf>
    <xf numFmtId="0" fontId="11" fillId="3" borderId="26" xfId="0" applyFont="1" applyFill="1" applyBorder="1" applyProtection="1">
      <protection locked="0"/>
    </xf>
    <xf numFmtId="164" fontId="7" fillId="4" borderId="27" xfId="0" applyNumberFormat="1" applyFont="1" applyFill="1" applyBorder="1" applyAlignment="1" applyProtection="1">
      <alignment horizontal="center"/>
      <protection locked="0"/>
    </xf>
    <xf numFmtId="164" fontId="7" fillId="4" borderId="28" xfId="0" applyNumberFormat="1" applyFont="1" applyFill="1" applyBorder="1" applyAlignment="1" applyProtection="1">
      <alignment horizontal="center"/>
      <protection locked="0"/>
    </xf>
    <xf numFmtId="164" fontId="7" fillId="4" borderId="29" xfId="0" applyNumberFormat="1" applyFont="1" applyFill="1" applyBorder="1" applyAlignment="1" applyProtection="1">
      <alignment horizontal="center"/>
      <protection locked="0"/>
    </xf>
    <xf numFmtId="164" fontId="7" fillId="4" borderId="30" xfId="0" applyNumberFormat="1" applyFont="1" applyFill="1" applyBorder="1" applyAlignment="1" applyProtection="1">
      <alignment horizontal="center"/>
      <protection locked="0"/>
    </xf>
    <xf numFmtId="164" fontId="7" fillId="4" borderId="31" xfId="0" applyNumberFormat="1" applyFont="1" applyFill="1" applyBorder="1" applyAlignment="1" applyProtection="1">
      <alignment horizontal="center"/>
      <protection locked="0"/>
    </xf>
    <xf numFmtId="164" fontId="7" fillId="4" borderId="22" xfId="0" applyNumberFormat="1" applyFont="1" applyFill="1" applyBorder="1" applyAlignment="1" applyProtection="1">
      <alignment horizontal="center"/>
      <protection locked="0"/>
    </xf>
    <xf numFmtId="0" fontId="3" fillId="2" borderId="1" xfId="0" applyNumberFormat="1" applyFont="1" applyFill="1" applyBorder="1" applyAlignment="1" applyProtection="1">
      <alignment horizontal="center"/>
      <protection hidden="1"/>
    </xf>
    <xf numFmtId="1" fontId="4" fillId="2" borderId="32" xfId="1" applyNumberFormat="1" applyFont="1" applyFill="1" applyBorder="1" applyAlignment="1" applyProtection="1">
      <alignment horizontal="center"/>
      <protection hidden="1"/>
    </xf>
    <xf numFmtId="9" fontId="4" fillId="2" borderId="32" xfId="1" applyFont="1" applyFill="1" applyBorder="1" applyAlignment="1" applyProtection="1">
      <alignment horizontal="center"/>
      <protection hidden="1"/>
    </xf>
    <xf numFmtId="9" fontId="4" fillId="2" borderId="33" xfId="1" applyFont="1" applyFill="1" applyBorder="1" applyAlignment="1" applyProtection="1">
      <alignment horizontal="center"/>
      <protection hidden="1"/>
    </xf>
    <xf numFmtId="0" fontId="3" fillId="0" borderId="11" xfId="0" applyNumberFormat="1" applyFont="1" applyBorder="1"/>
    <xf numFmtId="0" fontId="3" fillId="0" borderId="0" xfId="0" quotePrefix="1" applyNumberFormat="1" applyFont="1" applyBorder="1"/>
    <xf numFmtId="0" fontId="3" fillId="0" borderId="12" xfId="0" quotePrefix="1" applyNumberFormat="1" applyFont="1" applyBorder="1"/>
    <xf numFmtId="0" fontId="3" fillId="0" borderId="11" xfId="0" applyFont="1" applyBorder="1"/>
    <xf numFmtId="0" fontId="3" fillId="0" borderId="0" xfId="0" applyFont="1" applyBorder="1"/>
    <xf numFmtId="0" fontId="3" fillId="0" borderId="14" xfId="0" applyFont="1" applyBorder="1"/>
    <xf numFmtId="0" fontId="3" fillId="0" borderId="34" xfId="0" quotePrefix="1" applyNumberFormat="1" applyFont="1" applyBorder="1"/>
    <xf numFmtId="0" fontId="3" fillId="0" borderId="34" xfId="0" applyFont="1" applyBorder="1"/>
    <xf numFmtId="0" fontId="12" fillId="2" borderId="2" xfId="0" applyNumberFormat="1" applyFont="1" applyFill="1" applyBorder="1"/>
    <xf numFmtId="0" fontId="4" fillId="2" borderId="35" xfId="0" applyNumberFormat="1" applyFont="1" applyFill="1" applyBorder="1" applyAlignment="1">
      <alignment horizontal="center"/>
    </xf>
    <xf numFmtId="0" fontId="4" fillId="2" borderId="35" xfId="0" quotePrefix="1" applyNumberFormat="1" applyFont="1" applyFill="1" applyBorder="1" applyAlignment="1">
      <alignment horizontal="center"/>
    </xf>
    <xf numFmtId="0" fontId="4" fillId="2" borderId="13" xfId="0" quotePrefix="1" applyNumberFormat="1" applyFont="1" applyFill="1" applyBorder="1" applyAlignment="1">
      <alignment horizontal="center"/>
    </xf>
    <xf numFmtId="0" fontId="3" fillId="0" borderId="15" xfId="0" quotePrefix="1" applyNumberFormat="1" applyFont="1" applyBorder="1"/>
    <xf numFmtId="164" fontId="7" fillId="2" borderId="19" xfId="0" applyNumberFormat="1" applyFont="1" applyFill="1" applyBorder="1" applyAlignment="1" applyProtection="1">
      <alignment horizontal="center"/>
      <protection locked="0"/>
    </xf>
    <xf numFmtId="164" fontId="7" fillId="2" borderId="0" xfId="0" applyNumberFormat="1" applyFont="1" applyFill="1" applyBorder="1" applyAlignment="1" applyProtection="1">
      <alignment horizontal="center"/>
      <protection locked="0"/>
    </xf>
    <xf numFmtId="164" fontId="7" fillId="2" borderId="20" xfId="0" applyNumberFormat="1" applyFont="1" applyFill="1" applyBorder="1" applyAlignment="1" applyProtection="1">
      <alignment horizontal="center"/>
      <protection locked="0"/>
    </xf>
    <xf numFmtId="164" fontId="7" fillId="2" borderId="21" xfId="0" applyNumberFormat="1" applyFont="1" applyFill="1" applyBorder="1" applyAlignment="1" applyProtection="1">
      <alignment horizontal="center"/>
      <protection locked="0"/>
    </xf>
    <xf numFmtId="164" fontId="7" fillId="2" borderId="22" xfId="0" applyNumberFormat="1" applyFont="1" applyFill="1" applyBorder="1" applyAlignment="1" applyProtection="1">
      <alignment horizontal="center"/>
      <protection locked="0"/>
    </xf>
    <xf numFmtId="164" fontId="7" fillId="2" borderId="23" xfId="0" applyNumberFormat="1" applyFont="1" applyFill="1" applyBorder="1" applyAlignment="1" applyProtection="1">
      <alignment horizontal="center"/>
      <protection locked="0"/>
    </xf>
    <xf numFmtId="0" fontId="8" fillId="2" borderId="0" xfId="0" applyFont="1" applyFill="1"/>
    <xf numFmtId="0" fontId="7" fillId="2" borderId="36" xfId="0" applyFont="1" applyFill="1" applyBorder="1" applyAlignment="1">
      <alignment horizontal="right"/>
    </xf>
    <xf numFmtId="0" fontId="8" fillId="2" borderId="37" xfId="0" applyFont="1" applyFill="1" applyBorder="1" applyAlignment="1">
      <alignment horizontal="center"/>
    </xf>
    <xf numFmtId="164" fontId="8" fillId="2" borderId="37" xfId="0" applyNumberFormat="1" applyFont="1" applyFill="1" applyBorder="1" applyAlignment="1">
      <alignment horizontal="center"/>
    </xf>
    <xf numFmtId="164" fontId="8" fillId="2" borderId="38" xfId="0" applyNumberFormat="1" applyFont="1" applyFill="1" applyBorder="1" applyAlignment="1">
      <alignment horizontal="center"/>
    </xf>
    <xf numFmtId="0" fontId="6" fillId="3" borderId="39" xfId="0" applyFont="1" applyFill="1" applyBorder="1" applyAlignment="1">
      <alignment horizontal="center"/>
    </xf>
    <xf numFmtId="0" fontId="9" fillId="3" borderId="40" xfId="0" applyFont="1" applyFill="1" applyBorder="1" applyAlignment="1"/>
    <xf numFmtId="0" fontId="4" fillId="0" borderId="0" xfId="0" applyFont="1"/>
    <xf numFmtId="15" fontId="3" fillId="5" borderId="41" xfId="0" applyNumberFormat="1" applyFont="1" applyFill="1" applyBorder="1"/>
    <xf numFmtId="1" fontId="3" fillId="5" borderId="41" xfId="0" applyNumberFormat="1" applyFont="1" applyFill="1" applyBorder="1" applyAlignment="1">
      <alignment horizontal="center"/>
    </xf>
    <xf numFmtId="1" fontId="5" fillId="5" borderId="41" xfId="0" applyNumberFormat="1" applyFont="1" applyFill="1" applyBorder="1" applyAlignment="1">
      <alignment horizontal="center"/>
    </xf>
    <xf numFmtId="15" fontId="3" fillId="0" borderId="42" xfId="0" applyNumberFormat="1" applyFont="1" applyBorder="1"/>
    <xf numFmtId="15" fontId="3" fillId="0" borderId="11" xfId="0" applyNumberFormat="1" applyFont="1" applyBorder="1"/>
    <xf numFmtId="1" fontId="3" fillId="0" borderId="0" xfId="0" applyNumberFormat="1" applyFont="1" applyBorder="1" applyAlignment="1">
      <alignment horizontal="center"/>
    </xf>
    <xf numFmtId="0" fontId="4" fillId="2" borderId="43" xfId="0" applyFont="1" applyFill="1" applyBorder="1" applyAlignment="1">
      <alignment horizontal="center"/>
    </xf>
    <xf numFmtId="0" fontId="4" fillId="2" borderId="44" xfId="0" applyFont="1" applyFill="1" applyBorder="1" applyAlignment="1">
      <alignment horizontal="center"/>
    </xf>
    <xf numFmtId="0" fontId="4" fillId="2" borderId="45" xfId="0" applyFont="1" applyFill="1" applyBorder="1" applyAlignment="1">
      <alignment horizontal="center"/>
    </xf>
    <xf numFmtId="0" fontId="4" fillId="2" borderId="46" xfId="0" applyFont="1" applyFill="1" applyBorder="1" applyAlignment="1">
      <alignment horizontal="center"/>
    </xf>
    <xf numFmtId="0" fontId="4" fillId="2" borderId="47" xfId="0" applyFont="1" applyFill="1" applyBorder="1" applyAlignment="1">
      <alignment horizontal="center"/>
    </xf>
    <xf numFmtId="1" fontId="3" fillId="0" borderId="48" xfId="0" applyNumberFormat="1" applyFont="1" applyBorder="1" applyAlignment="1">
      <alignment horizontal="center"/>
    </xf>
    <xf numFmtId="1" fontId="3" fillId="0" borderId="49" xfId="0" applyNumberFormat="1" applyFont="1" applyBorder="1" applyAlignment="1">
      <alignment horizontal="center"/>
    </xf>
    <xf numFmtId="0" fontId="7" fillId="0" borderId="0" xfId="0" applyFont="1"/>
    <xf numFmtId="1" fontId="3" fillId="0" borderId="12" xfId="0" applyNumberFormat="1" applyFont="1" applyBorder="1" applyAlignment="1">
      <alignment horizontal="center"/>
    </xf>
    <xf numFmtId="0" fontId="3" fillId="0" borderId="0" xfId="0" applyFont="1" applyAlignment="1">
      <alignment horizontal="right"/>
    </xf>
    <xf numFmtId="0" fontId="3" fillId="0" borderId="50" xfId="0" quotePrefix="1" applyNumberFormat="1" applyFont="1" applyBorder="1"/>
    <xf numFmtId="165" fontId="3" fillId="2" borderId="1" xfId="0" applyNumberFormat="1" applyFont="1" applyFill="1" applyBorder="1" applyAlignment="1" applyProtection="1">
      <alignment horizontal="center"/>
      <protection hidden="1"/>
    </xf>
    <xf numFmtId="165" fontId="3" fillId="2" borderId="1" xfId="0" applyNumberFormat="1" applyFont="1" applyFill="1" applyBorder="1" applyAlignment="1" applyProtection="1">
      <alignment horizontal="center"/>
      <protection locked="0"/>
    </xf>
    <xf numFmtId="164" fontId="7" fillId="5" borderId="27" xfId="0" applyNumberFormat="1" applyFont="1" applyFill="1" applyBorder="1" applyAlignment="1" applyProtection="1">
      <alignment horizontal="center"/>
      <protection locked="0"/>
    </xf>
    <xf numFmtId="164" fontId="7" fillId="5" borderId="28" xfId="0" applyNumberFormat="1" applyFont="1" applyFill="1" applyBorder="1" applyAlignment="1" applyProtection="1">
      <alignment horizontal="center"/>
      <protection locked="0"/>
    </xf>
    <xf numFmtId="164" fontId="7" fillId="5" borderId="29" xfId="0" applyNumberFormat="1" applyFont="1" applyFill="1" applyBorder="1" applyAlignment="1" applyProtection="1">
      <alignment horizontal="center"/>
      <protection locked="0"/>
    </xf>
    <xf numFmtId="0" fontId="4" fillId="2" borderId="2" xfId="0" quotePrefix="1" applyNumberFormat="1" applyFont="1" applyFill="1" applyBorder="1" applyAlignment="1">
      <alignment horizontal="center"/>
    </xf>
    <xf numFmtId="0" fontId="4" fillId="2" borderId="13" xfId="0" applyNumberFormat="1" applyFont="1" applyFill="1" applyBorder="1" applyAlignment="1">
      <alignment horizontal="center"/>
    </xf>
    <xf numFmtId="1" fontId="3" fillId="0" borderId="0" xfId="0" quotePrefix="1" applyNumberFormat="1" applyFont="1" applyBorder="1"/>
    <xf numFmtId="1" fontId="3" fillId="0" borderId="0" xfId="0" applyNumberFormat="1" applyFont="1" applyBorder="1"/>
    <xf numFmtId="1" fontId="3" fillId="0" borderId="34" xfId="0" quotePrefix="1" applyNumberFormat="1" applyFont="1" applyBorder="1"/>
    <xf numFmtId="1" fontId="3" fillId="0" borderId="34" xfId="0" applyNumberFormat="1" applyFont="1" applyBorder="1"/>
    <xf numFmtId="0" fontId="3" fillId="6" borderId="14" xfId="0" applyFont="1" applyFill="1" applyBorder="1"/>
    <xf numFmtId="0" fontId="4" fillId="2" borderId="36" xfId="0" applyFont="1" applyFill="1" applyBorder="1" applyAlignment="1">
      <alignment horizontal="center"/>
    </xf>
    <xf numFmtId="0" fontId="3" fillId="0" borderId="0" xfId="0" applyNumberFormat="1" applyFont="1" applyBorder="1"/>
    <xf numFmtId="1" fontId="3" fillId="2" borderId="0" xfId="1" applyNumberFormat="1" applyFont="1" applyFill="1" applyAlignment="1">
      <alignment horizontal="center"/>
    </xf>
    <xf numFmtId="1" fontId="8" fillId="2" borderId="0" xfId="1" applyNumberFormat="1" applyFont="1" applyFill="1" applyAlignment="1">
      <alignment horizontal="right"/>
    </xf>
    <xf numFmtId="9" fontId="4" fillId="2" borderId="0" xfId="1" applyNumberFormat="1" applyFont="1" applyFill="1" applyAlignment="1">
      <alignment horizontal="center"/>
    </xf>
    <xf numFmtId="0" fontId="4" fillId="3" borderId="13" xfId="0" applyFont="1" applyFill="1" applyBorder="1" applyAlignment="1">
      <alignment horizontal="center"/>
    </xf>
    <xf numFmtId="0" fontId="7" fillId="5" borderId="0" xfId="0" applyFont="1" applyFill="1" applyAlignment="1">
      <alignment horizontal="center"/>
    </xf>
    <xf numFmtId="9" fontId="3" fillId="2" borderId="1" xfId="0" applyNumberFormat="1" applyFont="1" applyFill="1" applyBorder="1" applyAlignment="1" applyProtection="1">
      <alignment horizontal="center"/>
      <protection hidden="1"/>
    </xf>
    <xf numFmtId="0" fontId="3" fillId="5" borderId="0" xfId="0" applyFont="1" applyFill="1" applyAlignment="1">
      <alignment horizontal="center"/>
    </xf>
    <xf numFmtId="0" fontId="13" fillId="2" borderId="0" xfId="0" applyFont="1" applyFill="1" applyAlignment="1">
      <alignment horizontal="right"/>
    </xf>
    <xf numFmtId="0" fontId="4" fillId="2" borderId="36" xfId="0" applyFont="1" applyFill="1" applyBorder="1" applyAlignment="1">
      <alignment horizontal="left"/>
    </xf>
    <xf numFmtId="0" fontId="7" fillId="2" borderId="0" xfId="0" applyFont="1" applyFill="1" applyAlignment="1">
      <alignment horizontal="left" vertical="center"/>
    </xf>
    <xf numFmtId="0" fontId="7" fillId="2" borderId="0" xfId="0" applyFont="1" applyFill="1" applyAlignment="1">
      <alignment vertical="center"/>
    </xf>
    <xf numFmtId="0" fontId="3" fillId="2" borderId="0" xfId="0" applyFont="1" applyFill="1" applyAlignment="1">
      <alignment vertical="center"/>
    </xf>
    <xf numFmtId="0" fontId="3" fillId="2" borderId="0" xfId="0" applyFont="1" applyFill="1" applyAlignment="1">
      <alignment horizontal="center" vertical="center"/>
    </xf>
    <xf numFmtId="0" fontId="7" fillId="2" borderId="0" xfId="0" applyFont="1" applyFill="1" applyAlignment="1" applyProtection="1">
      <alignment vertical="center"/>
      <protection locked="0"/>
    </xf>
    <xf numFmtId="0" fontId="14" fillId="2" borderId="0" xfId="0" applyFont="1" applyFill="1" applyAlignment="1">
      <alignment vertical="center"/>
    </xf>
    <xf numFmtId="0" fontId="3" fillId="0" borderId="12" xfId="0" applyNumberFormat="1" applyFont="1" applyBorder="1"/>
    <xf numFmtId="1" fontId="4" fillId="2" borderId="0" xfId="1" applyNumberFormat="1" applyFont="1" applyFill="1" applyAlignment="1">
      <alignment horizontal="left"/>
    </xf>
    <xf numFmtId="1" fontId="4" fillId="7" borderId="0" xfId="1" applyNumberFormat="1" applyFont="1" applyFill="1" applyAlignment="1">
      <alignment horizontal="left"/>
    </xf>
    <xf numFmtId="9" fontId="4" fillId="2" borderId="0" xfId="1" applyNumberFormat="1" applyFont="1" applyFill="1" applyAlignment="1">
      <alignment horizontal="left"/>
    </xf>
    <xf numFmtId="0" fontId="3" fillId="0" borderId="0" xfId="0" applyNumberFormat="1" applyFont="1" applyFill="1" applyBorder="1"/>
    <xf numFmtId="0" fontId="3" fillId="0" borderId="34" xfId="0" applyNumberFormat="1" applyFont="1" applyFill="1" applyBorder="1"/>
    <xf numFmtId="9" fontId="3" fillId="0" borderId="0" xfId="0" applyNumberFormat="1" applyFont="1" applyFill="1" applyBorder="1" applyAlignment="1">
      <alignment horizontal="center"/>
    </xf>
    <xf numFmtId="9" fontId="3" fillId="0" borderId="34" xfId="0" applyNumberFormat="1" applyFont="1" applyFill="1" applyBorder="1" applyAlignment="1">
      <alignment horizontal="center"/>
    </xf>
    <xf numFmtId="9" fontId="3" fillId="0" borderId="12" xfId="0" applyNumberFormat="1" applyFont="1" applyFill="1" applyBorder="1" applyAlignment="1">
      <alignment horizontal="center"/>
    </xf>
    <xf numFmtId="9" fontId="3" fillId="0" borderId="15" xfId="0" applyNumberFormat="1" applyFont="1" applyFill="1" applyBorder="1" applyAlignment="1">
      <alignment horizontal="center"/>
    </xf>
    <xf numFmtId="0" fontId="3" fillId="0" borderId="51" xfId="0" quotePrefix="1" applyNumberFormat="1" applyFont="1" applyBorder="1"/>
    <xf numFmtId="0" fontId="3" fillId="0" borderId="12" xfId="0" quotePrefix="1" applyNumberFormat="1" applyFont="1" applyFill="1" applyBorder="1"/>
    <xf numFmtId="0" fontId="3" fillId="0" borderId="51" xfId="0" quotePrefix="1" applyNumberFormat="1" applyFont="1" applyFill="1" applyBorder="1"/>
    <xf numFmtId="0" fontId="3" fillId="0" borderId="15" xfId="0" quotePrefix="1" applyNumberFormat="1" applyFont="1" applyFill="1" applyBorder="1"/>
    <xf numFmtId="0" fontId="3" fillId="0" borderId="51" xfId="0" applyNumberFormat="1" applyFont="1" applyBorder="1"/>
    <xf numFmtId="0" fontId="3" fillId="7" borderId="0" xfId="0" quotePrefix="1" applyNumberFormat="1" applyFont="1" applyFill="1" applyBorder="1"/>
    <xf numFmtId="0" fontId="3" fillId="0" borderId="15" xfId="0" applyNumberFormat="1" applyFont="1" applyBorder="1"/>
    <xf numFmtId="0" fontId="3" fillId="0" borderId="12" xfId="0" applyNumberFormat="1" applyFont="1" applyFill="1" applyBorder="1"/>
    <xf numFmtId="167" fontId="3" fillId="2" borderId="1" xfId="0" applyNumberFormat="1" applyFont="1" applyFill="1" applyBorder="1" applyAlignment="1" applyProtection="1">
      <alignment horizontal="center"/>
      <protection hidden="1"/>
    </xf>
    <xf numFmtId="168" fontId="9" fillId="3" borderId="40" xfId="0" applyNumberFormat="1" applyFont="1" applyFill="1" applyBorder="1" applyAlignment="1">
      <alignment horizontal="center"/>
    </xf>
    <xf numFmtId="168" fontId="9" fillId="3" borderId="52" xfId="0" applyNumberFormat="1" applyFont="1" applyFill="1" applyBorder="1" applyAlignment="1">
      <alignment horizontal="center"/>
    </xf>
    <xf numFmtId="0" fontId="3" fillId="0" borderId="48" xfId="0" applyFont="1" applyBorder="1"/>
    <xf numFmtId="166" fontId="3" fillId="0" borderId="0" xfId="0" applyNumberFormat="1" applyFont="1" applyBorder="1"/>
    <xf numFmtId="166" fontId="3" fillId="0" borderId="49" xfId="0" applyNumberFormat="1" applyFont="1" applyBorder="1"/>
    <xf numFmtId="0" fontId="3" fillId="0" borderId="46" xfId="0" applyFont="1" applyBorder="1"/>
    <xf numFmtId="166" fontId="3" fillId="0" borderId="44" xfId="0" applyNumberFormat="1" applyFont="1" applyBorder="1"/>
    <xf numFmtId="166" fontId="3" fillId="0" borderId="47" xfId="0" applyNumberFormat="1" applyFont="1" applyBorder="1"/>
    <xf numFmtId="0" fontId="4" fillId="2" borderId="2" xfId="0" applyFont="1" applyFill="1" applyBorder="1" applyAlignment="1">
      <alignment horizontal="center"/>
    </xf>
    <xf numFmtId="9" fontId="4" fillId="2" borderId="35" xfId="0" applyNumberFormat="1" applyFont="1" applyFill="1" applyBorder="1" applyAlignment="1">
      <alignment horizontal="center"/>
    </xf>
    <xf numFmtId="9" fontId="4" fillId="2" borderId="13" xfId="0" applyNumberFormat="1" applyFont="1" applyFill="1" applyBorder="1" applyAlignment="1">
      <alignment horizontal="center"/>
    </xf>
    <xf numFmtId="1" fontId="9" fillId="3" borderId="40" xfId="0" applyNumberFormat="1" applyFont="1" applyFill="1" applyBorder="1" applyAlignment="1">
      <alignment horizontal="center"/>
    </xf>
    <xf numFmtId="1" fontId="7" fillId="2" borderId="19" xfId="0" applyNumberFormat="1" applyFont="1" applyFill="1" applyBorder="1" applyAlignment="1" applyProtection="1">
      <alignment horizontal="center"/>
      <protection hidden="1"/>
    </xf>
    <xf numFmtId="1" fontId="7" fillId="2" borderId="21" xfId="0" applyNumberFormat="1" applyFont="1" applyFill="1" applyBorder="1" applyAlignment="1" applyProtection="1">
      <alignment horizontal="center"/>
      <protection hidden="1"/>
    </xf>
    <xf numFmtId="1" fontId="7" fillId="2" borderId="19" xfId="0" applyNumberFormat="1" applyFont="1" applyFill="1" applyBorder="1" applyAlignment="1" applyProtection="1">
      <alignment horizontal="center"/>
      <protection locked="0"/>
    </xf>
    <xf numFmtId="1" fontId="7" fillId="2" borderId="21" xfId="0" applyNumberFormat="1" applyFont="1" applyFill="1" applyBorder="1" applyAlignment="1" applyProtection="1">
      <alignment horizontal="center"/>
      <protection locked="0"/>
    </xf>
    <xf numFmtId="164" fontId="7" fillId="2" borderId="37" xfId="0" applyNumberFormat="1" applyFont="1" applyFill="1" applyBorder="1" applyAlignment="1">
      <alignment horizontal="right"/>
    </xf>
    <xf numFmtId="168" fontId="7" fillId="2" borderId="37" xfId="0" applyNumberFormat="1" applyFont="1" applyFill="1" applyBorder="1" applyAlignment="1">
      <alignment horizontal="center"/>
    </xf>
    <xf numFmtId="0" fontId="3" fillId="0" borderId="12" xfId="0" applyFont="1" applyBorder="1" applyAlignment="1">
      <alignment horizontal="center"/>
    </xf>
    <xf numFmtId="0" fontId="3" fillId="0" borderId="15" xfId="0" applyFont="1" applyBorder="1" applyAlignment="1">
      <alignment horizontal="center"/>
    </xf>
    <xf numFmtId="0" fontId="3" fillId="0" borderId="0" xfId="0" applyFont="1" applyAlignment="1">
      <alignment horizontal="left"/>
    </xf>
    <xf numFmtId="164" fontId="3" fillId="0" borderId="50" xfId="0" quotePrefix="1" applyNumberFormat="1" applyFont="1" applyBorder="1"/>
    <xf numFmtId="164" fontId="3" fillId="0" borderId="0" xfId="0" quotePrefix="1" applyNumberFormat="1" applyFont="1" applyBorder="1"/>
    <xf numFmtId="164" fontId="3" fillId="0" borderId="34" xfId="0" quotePrefix="1" applyNumberFormat="1" applyFont="1" applyBorder="1"/>
    <xf numFmtId="0" fontId="3" fillId="0" borderId="15" xfId="0" applyNumberFormat="1" applyFont="1" applyFill="1" applyBorder="1"/>
    <xf numFmtId="164" fontId="3" fillId="7" borderId="0" xfId="0" quotePrefix="1" applyNumberFormat="1" applyFont="1" applyFill="1" applyBorder="1"/>
    <xf numFmtId="0" fontId="3" fillId="0" borderId="51" xfId="0" applyNumberFormat="1" applyFont="1" applyFill="1" applyBorder="1"/>
    <xf numFmtId="164" fontId="7" fillId="2" borderId="22" xfId="0" applyNumberFormat="1" applyFont="1" applyFill="1" applyBorder="1" applyAlignment="1" applyProtection="1">
      <protection hidden="1"/>
    </xf>
    <xf numFmtId="1" fontId="7" fillId="2" borderId="37" xfId="0" applyNumberFormat="1" applyFont="1" applyFill="1" applyBorder="1" applyAlignment="1">
      <alignment horizontal="center"/>
    </xf>
    <xf numFmtId="166" fontId="3" fillId="0" borderId="12" xfId="1" applyNumberFormat="1" applyFont="1" applyBorder="1"/>
    <xf numFmtId="166" fontId="3" fillId="0" borderId="12" xfId="1" applyNumberFormat="1" applyFont="1" applyFill="1" applyBorder="1"/>
    <xf numFmtId="166" fontId="3" fillId="7" borderId="12" xfId="1" applyNumberFormat="1" applyFont="1" applyFill="1" applyBorder="1"/>
    <xf numFmtId="166" fontId="3" fillId="6" borderId="15" xfId="1" applyNumberFormat="1" applyFont="1" applyFill="1" applyBorder="1"/>
    <xf numFmtId="0" fontId="3" fillId="0" borderId="48" xfId="0" applyFont="1" applyFill="1" applyBorder="1"/>
    <xf numFmtId="166" fontId="3" fillId="0" borderId="0" xfId="0" applyNumberFormat="1" applyFont="1" applyFill="1" applyBorder="1"/>
    <xf numFmtId="166" fontId="3" fillId="0" borderId="49" xfId="0" applyNumberFormat="1" applyFont="1" applyFill="1" applyBorder="1"/>
    <xf numFmtId="15" fontId="3" fillId="0" borderId="14" xfId="0" applyNumberFormat="1" applyFont="1" applyBorder="1"/>
    <xf numFmtId="1" fontId="3" fillId="0" borderId="53" xfId="0" applyNumberFormat="1" applyFont="1" applyBorder="1" applyAlignment="1">
      <alignment horizontal="center"/>
    </xf>
    <xf numFmtId="1" fontId="3" fillId="0" borderId="34" xfId="0" applyNumberFormat="1" applyFont="1" applyBorder="1" applyAlignment="1">
      <alignment horizontal="center"/>
    </xf>
    <xf numFmtId="1" fontId="3" fillId="0" borderId="54" xfId="0" applyNumberFormat="1" applyFont="1" applyBorder="1" applyAlignment="1">
      <alignment horizontal="center"/>
    </xf>
    <xf numFmtId="1" fontId="3" fillId="0" borderId="15" xfId="0" applyNumberFormat="1" applyFont="1" applyBorder="1" applyAlignment="1">
      <alignment horizontal="center"/>
    </xf>
    <xf numFmtId="0" fontId="16" fillId="0" borderId="0" xfId="0" applyFont="1"/>
    <xf numFmtId="14" fontId="8" fillId="0" borderId="0" xfId="0" applyNumberFormat="1" applyFont="1" applyAlignment="1">
      <alignment horizontal="center"/>
    </xf>
    <xf numFmtId="0" fontId="9" fillId="3" borderId="40" xfId="0" applyFont="1" applyFill="1" applyBorder="1" applyAlignment="1">
      <alignment horizontal="center"/>
    </xf>
    <xf numFmtId="164" fontId="7" fillId="4" borderId="55" xfId="0" applyNumberFormat="1" applyFont="1" applyFill="1" applyBorder="1" applyAlignment="1" applyProtection="1">
      <alignment horizontal="center"/>
      <protection locked="0"/>
    </xf>
    <xf numFmtId="164" fontId="7" fillId="4" borderId="56" xfId="0" applyNumberFormat="1" applyFont="1" applyFill="1" applyBorder="1" applyAlignment="1" applyProtection="1">
      <alignment horizontal="center"/>
      <protection locked="0"/>
    </xf>
    <xf numFmtId="164" fontId="7" fillId="4" borderId="57" xfId="0" applyNumberFormat="1" applyFont="1" applyFill="1" applyBorder="1" applyAlignment="1" applyProtection="1">
      <alignment horizontal="center"/>
      <protection locked="0"/>
    </xf>
    <xf numFmtId="0" fontId="8" fillId="2" borderId="58" xfId="0" applyNumberFormat="1" applyFont="1" applyFill="1" applyBorder="1" applyAlignment="1">
      <alignment horizontal="center"/>
    </xf>
    <xf numFmtId="164" fontId="7" fillId="2" borderId="59" xfId="0" applyNumberFormat="1" applyFont="1" applyFill="1" applyBorder="1" applyAlignment="1" applyProtection="1">
      <protection hidden="1"/>
    </xf>
    <xf numFmtId="14" fontId="17" fillId="0" borderId="0" xfId="0" applyNumberFormat="1" applyFont="1" applyAlignment="1">
      <alignment horizontal="center"/>
    </xf>
    <xf numFmtId="1" fontId="4" fillId="8" borderId="0" xfId="1" applyNumberFormat="1" applyFont="1" applyFill="1" applyAlignment="1">
      <alignment horizontal="left"/>
    </xf>
    <xf numFmtId="166" fontId="3" fillId="5" borderId="0" xfId="0" applyNumberFormat="1" applyFont="1" applyFill="1" applyBorder="1"/>
    <xf numFmtId="0" fontId="6" fillId="2" borderId="0" xfId="0" applyFont="1" applyFill="1" applyAlignment="1">
      <alignment horizontal="right"/>
    </xf>
    <xf numFmtId="0" fontId="19" fillId="2" borderId="0" xfId="0" applyFont="1" applyFill="1" applyAlignment="1">
      <alignment horizontal="center"/>
    </xf>
    <xf numFmtId="0" fontId="6" fillId="2" borderId="0" xfId="0" applyFont="1" applyFill="1" applyAlignment="1">
      <alignment horizontal="left"/>
    </xf>
    <xf numFmtId="0" fontId="20" fillId="2" borderId="0" xfId="0" applyFont="1" applyFill="1" applyAlignment="1">
      <alignment horizontal="right" vertical="center"/>
    </xf>
    <xf numFmtId="9" fontId="21" fillId="2" borderId="1" xfId="0" applyNumberFormat="1" applyFont="1" applyFill="1" applyBorder="1" applyAlignment="1" applyProtection="1">
      <alignment horizontal="center"/>
      <protection hidden="1"/>
    </xf>
    <xf numFmtId="0" fontId="22" fillId="9" borderId="66" xfId="0" applyFont="1" applyFill="1" applyBorder="1" applyAlignment="1">
      <alignment horizontal="center" vertical="center"/>
    </xf>
    <xf numFmtId="0" fontId="22" fillId="9" borderId="67" xfId="0" applyFont="1" applyFill="1" applyBorder="1" applyAlignment="1">
      <alignment horizontal="center" vertical="center"/>
    </xf>
    <xf numFmtId="0" fontId="22" fillId="9" borderId="68" xfId="0" applyFont="1" applyFill="1" applyBorder="1" applyAlignment="1">
      <alignment horizontal="center" vertical="center"/>
    </xf>
    <xf numFmtId="0" fontId="9" fillId="3" borderId="40" xfId="0" applyFont="1" applyFill="1" applyBorder="1" applyAlignment="1">
      <alignment horizontal="center"/>
    </xf>
    <xf numFmtId="0" fontId="9" fillId="3" borderId="52" xfId="0" applyFont="1" applyFill="1" applyBorder="1" applyAlignment="1">
      <alignment horizontal="center"/>
    </xf>
    <xf numFmtId="0" fontId="3" fillId="0" borderId="60" xfId="0" applyFont="1" applyFill="1" applyBorder="1" applyAlignment="1" applyProtection="1">
      <alignment horizontal="center"/>
      <protection locked="0"/>
    </xf>
    <xf numFmtId="0" fontId="3" fillId="0" borderId="32" xfId="0" applyFont="1" applyFill="1" applyBorder="1" applyAlignment="1" applyProtection="1">
      <alignment horizontal="center"/>
      <protection locked="0"/>
    </xf>
    <xf numFmtId="0" fontId="3" fillId="0" borderId="61" xfId="0" applyFont="1" applyFill="1" applyBorder="1" applyAlignment="1" applyProtection="1">
      <alignment horizontal="center"/>
      <protection locked="0"/>
    </xf>
    <xf numFmtId="0" fontId="3" fillId="0" borderId="60" xfId="0" applyFont="1" applyFill="1" applyBorder="1" applyAlignment="1" applyProtection="1">
      <alignment horizontal="center"/>
    </xf>
    <xf numFmtId="0" fontId="3" fillId="0" borderId="32" xfId="0" applyFont="1" applyFill="1" applyBorder="1" applyAlignment="1" applyProtection="1">
      <alignment horizontal="center"/>
    </xf>
    <xf numFmtId="0" fontId="4" fillId="0" borderId="60" xfId="0" applyFont="1" applyFill="1" applyBorder="1" applyAlignment="1" applyProtection="1">
      <alignment horizontal="center"/>
      <protection locked="0"/>
    </xf>
    <xf numFmtId="0" fontId="4" fillId="0" borderId="61" xfId="0" applyFont="1" applyFill="1" applyBorder="1" applyAlignment="1" applyProtection="1">
      <alignment horizontal="center"/>
      <protection locked="0"/>
    </xf>
    <xf numFmtId="0" fontId="15" fillId="0" borderId="60" xfId="0" applyFont="1" applyFill="1" applyBorder="1" applyAlignment="1" applyProtection="1">
      <alignment horizontal="center"/>
      <protection locked="0"/>
    </xf>
    <xf numFmtId="0" fontId="15" fillId="0" borderId="32" xfId="0" applyFont="1" applyFill="1" applyBorder="1" applyAlignment="1" applyProtection="1">
      <alignment horizontal="center"/>
      <protection locked="0"/>
    </xf>
    <xf numFmtId="0" fontId="4" fillId="0" borderId="34" xfId="0" applyFont="1" applyFill="1" applyBorder="1" applyAlignment="1">
      <alignment horizontal="center"/>
    </xf>
    <xf numFmtId="0" fontId="4" fillId="0" borderId="62" xfId="0" applyFont="1" applyBorder="1" applyAlignment="1">
      <alignment horizontal="center"/>
    </xf>
    <xf numFmtId="0" fontId="4" fillId="0" borderId="63" xfId="0" applyFont="1" applyBorder="1" applyAlignment="1">
      <alignment horizontal="center"/>
    </xf>
    <xf numFmtId="0" fontId="4" fillId="0" borderId="64" xfId="0" applyFont="1" applyBorder="1" applyAlignment="1">
      <alignment horizontal="center"/>
    </xf>
    <xf numFmtId="0" fontId="4" fillId="0" borderId="65" xfId="0" applyFont="1" applyBorder="1" applyAlignment="1">
      <alignment horizontal="center"/>
    </xf>
  </cellXfs>
  <cellStyles count="2">
    <cellStyle name="Normal" xfId="0" builtinId="0"/>
    <cellStyle name="Percent" xfId="1" builtinId="5"/>
  </cellStyles>
  <dxfs count="11"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E3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E3E3E3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8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Calories &amp; Weight with Time</a:t>
            </a:r>
          </a:p>
        </c:rich>
      </c:tx>
      <c:layout>
        <c:manualLayout>
          <c:xMode val="edge"/>
          <c:yMode val="edge"/>
          <c:x val="0.37846836847946724"/>
          <c:y val="1.957585644371941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8823529411764705E-2"/>
          <c:y val="0.10929853181076672"/>
          <c:w val="0.87458379578246392"/>
          <c:h val="0.81239804241435565"/>
        </c:manualLayout>
      </c:layout>
      <c:barChart>
        <c:barDir val="col"/>
        <c:grouping val="clustered"/>
        <c:varyColors val="0"/>
        <c:ser>
          <c:idx val="1"/>
          <c:order val="0"/>
          <c:tx>
            <c:v>Target Calories</c:v>
          </c:tx>
          <c:spPr>
            <a:gradFill rotWithShape="0">
              <a:gsLst>
                <a:gs pos="0">
                  <a:srgbClr val="FFFFFF">
                    <a:gamma/>
                    <a:shade val="46275"/>
                    <a:invGamma/>
                  </a:srgbClr>
                </a:gs>
                <a:gs pos="50000">
                  <a:srgbClr val="FFFFFF"/>
                </a:gs>
                <a:gs pos="100000">
                  <a:srgbClr val="FFFFFF">
                    <a:gamma/>
                    <a:shade val="46275"/>
                    <a:invGamma/>
                  </a:srgbClr>
                </a:gs>
              </a:gsLst>
              <a:lin ang="0" scaled="1"/>
            </a:gra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[0]!Xaxis</c:f>
              <c:numCache>
                <c:formatCode>d\-mmm\-yy</c:formatCode>
                <c:ptCount val="1"/>
              </c:numCache>
            </c:numRef>
          </c:cat>
          <c:val>
            <c:numRef>
              <c:f>[0]!Target1</c:f>
              <c:numCache>
                <c:formatCode>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EB93-49B6-8918-8DE34615717B}"/>
            </c:ext>
          </c:extLst>
        </c:ser>
        <c:ser>
          <c:idx val="0"/>
          <c:order val="1"/>
          <c:tx>
            <c:v>Actual Calories</c:v>
          </c:tx>
          <c:spPr>
            <a:gradFill rotWithShape="0">
              <a:gsLst>
                <a:gs pos="0">
                  <a:srgbClr val="008080">
                    <a:gamma/>
                    <a:shade val="46275"/>
                    <a:invGamma/>
                  </a:srgbClr>
                </a:gs>
                <a:gs pos="50000">
                  <a:srgbClr val="008080"/>
                </a:gs>
                <a:gs pos="100000">
                  <a:srgbClr val="008080">
                    <a:gamma/>
                    <a:shade val="46275"/>
                    <a:invGamma/>
                  </a:srgbClr>
                </a:gs>
              </a:gsLst>
              <a:lin ang="0" scaled="1"/>
            </a:gra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[0]!Xaxis</c:f>
              <c:numCache>
                <c:formatCode>d\-mmm\-yy</c:formatCode>
                <c:ptCount val="1"/>
              </c:numCache>
            </c:numRef>
          </c:cat>
          <c:val>
            <c:numRef>
              <c:f>[0]!Actual1</c:f>
              <c:numCache>
                <c:formatCode>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1-EB93-49B6-8918-8DE3461571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44618920"/>
        <c:axId val="1"/>
      </c:barChart>
      <c:lineChart>
        <c:grouping val="standard"/>
        <c:varyColors val="0"/>
        <c:ser>
          <c:idx val="2"/>
          <c:order val="2"/>
          <c:tx>
            <c:v>Weight</c:v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val>
            <c:numRef>
              <c:f>[0]!Weight1</c:f>
              <c:numCache>
                <c:formatCode>0</c:formatCode>
                <c:ptCount val="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B93-49B6-8918-8DE3461571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"/>
        <c:axId val="4"/>
      </c:lineChart>
      <c:catAx>
        <c:axId val="4446189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Dates</a:t>
                </a:r>
              </a:p>
            </c:rich>
          </c:tx>
          <c:layout>
            <c:manualLayout>
              <c:xMode val="edge"/>
              <c:yMode val="edge"/>
              <c:x val="0.47502774694783573"/>
              <c:y val="0.94453507340946163"/>
            </c:manualLayout>
          </c:layout>
          <c:overlay val="0"/>
          <c:spPr>
            <a:noFill/>
            <a:ln w="25400">
              <a:noFill/>
            </a:ln>
          </c:spPr>
        </c:title>
        <c:numFmt formatCode="m/d;@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Calories</a:t>
                </a:r>
              </a:p>
            </c:rich>
          </c:tx>
          <c:layout>
            <c:manualLayout>
              <c:xMode val="edge"/>
              <c:yMode val="edge"/>
              <c:x val="1.2208657047724751E-2"/>
              <c:y val="0.4698205546492659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44618920"/>
        <c:crosses val="autoZero"/>
        <c:crossBetween val="between"/>
      </c:valAx>
      <c:catAx>
        <c:axId val="3"/>
        <c:scaling>
          <c:orientation val="minMax"/>
        </c:scaling>
        <c:delete val="1"/>
        <c:axPos val="b"/>
        <c:majorTickMark val="out"/>
        <c:minorTickMark val="none"/>
        <c:tickLblPos val="nextTo"/>
        <c:crossAx val="4"/>
        <c:crosses val="autoZero"/>
        <c:auto val="0"/>
        <c:lblAlgn val="ctr"/>
        <c:lblOffset val="100"/>
        <c:noMultiLvlLbl val="0"/>
      </c:catAx>
      <c:valAx>
        <c:axId val="4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Weight</a:t>
                </a:r>
              </a:p>
            </c:rich>
          </c:tx>
          <c:layout>
            <c:manualLayout>
              <c:xMode val="edge"/>
              <c:yMode val="edge"/>
              <c:x val="0.9544950055493896"/>
              <c:y val="0.4763458401305056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"/>
        <c:crosses val="max"/>
        <c:crossBetween val="between"/>
      </c:valAx>
      <c:spPr>
        <a:gradFill rotWithShape="0">
          <a:gsLst>
            <a:gs pos="0">
              <a:srgbClr val="000080"/>
            </a:gs>
            <a:gs pos="100000">
              <a:srgbClr val="00CCFF"/>
            </a:gs>
          </a:gsLst>
          <a:lin ang="2700000" scaled="1"/>
        </a:gra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0.77802441731409544"/>
          <c:y val="0"/>
          <c:w val="0.92008879023307433"/>
          <c:h val="0.1044045676998368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Calories &amp; Weight with Time</a:t>
            </a:r>
          </a:p>
        </c:rich>
      </c:tx>
      <c:layout>
        <c:manualLayout>
          <c:xMode val="edge"/>
          <c:yMode val="edge"/>
          <c:x val="0.39566978460036706"/>
          <c:y val="2.972885120129214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0949185043144777E-2"/>
          <c:y val="0.11334103286879066"/>
          <c:w val="0.8571428571428571"/>
          <c:h val="0.76923258373244807"/>
        </c:manualLayout>
      </c:layout>
      <c:barChart>
        <c:barDir val="col"/>
        <c:grouping val="clustered"/>
        <c:varyColors val="0"/>
        <c:ser>
          <c:idx val="1"/>
          <c:order val="0"/>
          <c:tx>
            <c:v>Target Calories</c:v>
          </c:tx>
          <c:spPr>
            <a:gradFill rotWithShape="0">
              <a:gsLst>
                <a:gs pos="0">
                  <a:srgbClr val="FFFFFF">
                    <a:gamma/>
                    <a:shade val="46275"/>
                    <a:invGamma/>
                  </a:srgbClr>
                </a:gs>
                <a:gs pos="50000">
                  <a:srgbClr val="FFFFFF"/>
                </a:gs>
                <a:gs pos="100000">
                  <a:srgbClr val="FFFFFF">
                    <a:gamma/>
                    <a:shade val="46275"/>
                    <a:invGamma/>
                  </a:srgbClr>
                </a:gs>
              </a:gsLst>
              <a:lin ang="0" scaled="1"/>
            </a:gra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[0]!XResult</c:f>
              <c:numCache>
                <c:formatCode>d\-mmm\-yy</c:formatCode>
                <c:ptCount val="10"/>
                <c:pt idx="0">
                  <c:v>40355</c:v>
                </c:pt>
                <c:pt idx="1">
                  <c:v>40356</c:v>
                </c:pt>
                <c:pt idx="2">
                  <c:v>40357</c:v>
                </c:pt>
                <c:pt idx="3">
                  <c:v>40358</c:v>
                </c:pt>
                <c:pt idx="4">
                  <c:v>40359</c:v>
                </c:pt>
                <c:pt idx="5">
                  <c:v>40360</c:v>
                </c:pt>
                <c:pt idx="6">
                  <c:v>40366</c:v>
                </c:pt>
                <c:pt idx="7">
                  <c:v>40367</c:v>
                </c:pt>
                <c:pt idx="8">
                  <c:v>40372</c:v>
                </c:pt>
                <c:pt idx="9">
                  <c:v>40373</c:v>
                </c:pt>
              </c:numCache>
            </c:numRef>
          </c:cat>
          <c:val>
            <c:numRef>
              <c:f>[0]!TargetResult</c:f>
              <c:numCache>
                <c:formatCode>0</c:formatCode>
                <c:ptCount val="10"/>
                <c:pt idx="0">
                  <c:v>3914.37</c:v>
                </c:pt>
                <c:pt idx="1">
                  <c:v>3914.37</c:v>
                </c:pt>
                <c:pt idx="2">
                  <c:v>3914.37</c:v>
                </c:pt>
                <c:pt idx="3">
                  <c:v>3914.37</c:v>
                </c:pt>
                <c:pt idx="4">
                  <c:v>3914.37</c:v>
                </c:pt>
                <c:pt idx="5">
                  <c:v>3914.37</c:v>
                </c:pt>
                <c:pt idx="6">
                  <c:v>3914.37</c:v>
                </c:pt>
                <c:pt idx="7">
                  <c:v>3914.37</c:v>
                </c:pt>
                <c:pt idx="8">
                  <c:v>3914.37</c:v>
                </c:pt>
                <c:pt idx="9">
                  <c:v>3914.37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EE8-47E1-A4C9-6CC93DA46EDF}"/>
            </c:ext>
          </c:extLst>
        </c:ser>
        <c:ser>
          <c:idx val="0"/>
          <c:order val="1"/>
          <c:tx>
            <c:v>Actual Calories</c:v>
          </c:tx>
          <c:spPr>
            <a:gradFill rotWithShape="0">
              <a:gsLst>
                <a:gs pos="0">
                  <a:srgbClr val="008080">
                    <a:gamma/>
                    <a:shade val="46275"/>
                    <a:invGamma/>
                  </a:srgbClr>
                </a:gs>
                <a:gs pos="50000">
                  <a:srgbClr val="008080"/>
                </a:gs>
                <a:gs pos="100000">
                  <a:srgbClr val="008080">
                    <a:gamma/>
                    <a:shade val="46275"/>
                    <a:invGamma/>
                  </a:srgbClr>
                </a:gs>
              </a:gsLst>
              <a:lin ang="0" scaled="1"/>
            </a:gra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[0]!XResult</c:f>
              <c:numCache>
                <c:formatCode>d\-mmm\-yy</c:formatCode>
                <c:ptCount val="10"/>
                <c:pt idx="0">
                  <c:v>40355</c:v>
                </c:pt>
                <c:pt idx="1">
                  <c:v>40356</c:v>
                </c:pt>
                <c:pt idx="2">
                  <c:v>40357</c:v>
                </c:pt>
                <c:pt idx="3">
                  <c:v>40358</c:v>
                </c:pt>
                <c:pt idx="4">
                  <c:v>40359</c:v>
                </c:pt>
                <c:pt idx="5">
                  <c:v>40360</c:v>
                </c:pt>
                <c:pt idx="6">
                  <c:v>40366</c:v>
                </c:pt>
                <c:pt idx="7">
                  <c:v>40367</c:v>
                </c:pt>
                <c:pt idx="8">
                  <c:v>40372</c:v>
                </c:pt>
                <c:pt idx="9">
                  <c:v>40373</c:v>
                </c:pt>
              </c:numCache>
            </c:numRef>
          </c:cat>
          <c:val>
            <c:numRef>
              <c:f>[0]!ActualResult</c:f>
              <c:numCache>
                <c:formatCode>0</c:formatCode>
                <c:ptCount val="10"/>
                <c:pt idx="0">
                  <c:v>3017</c:v>
                </c:pt>
                <c:pt idx="1">
                  <c:v>3017</c:v>
                </c:pt>
                <c:pt idx="2">
                  <c:v>3326</c:v>
                </c:pt>
                <c:pt idx="3">
                  <c:v>3017</c:v>
                </c:pt>
                <c:pt idx="4">
                  <c:v>3017</c:v>
                </c:pt>
                <c:pt idx="5">
                  <c:v>3017</c:v>
                </c:pt>
                <c:pt idx="6">
                  <c:v>3017</c:v>
                </c:pt>
                <c:pt idx="7">
                  <c:v>3017</c:v>
                </c:pt>
                <c:pt idx="8">
                  <c:v>3326</c:v>
                </c:pt>
                <c:pt idx="9">
                  <c:v>3326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EE8-47E1-A4C9-6CC93DA46E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46758864"/>
        <c:axId val="1"/>
      </c:barChart>
      <c:lineChart>
        <c:grouping val="standard"/>
        <c:varyColors val="0"/>
        <c:ser>
          <c:idx val="2"/>
          <c:order val="2"/>
          <c:tx>
            <c:v>Weight</c:v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val>
            <c:numRef>
              <c:f>[0]!WeightResult</c:f>
              <c:numCache>
                <c:formatCode>0</c:formatCode>
                <c:ptCount val="10"/>
                <c:pt idx="0">
                  <c:v>180</c:v>
                </c:pt>
                <c:pt idx="1">
                  <c:v>180</c:v>
                </c:pt>
                <c:pt idx="2">
                  <c:v>180</c:v>
                </c:pt>
                <c:pt idx="3">
                  <c:v>180</c:v>
                </c:pt>
                <c:pt idx="4">
                  <c:v>180</c:v>
                </c:pt>
                <c:pt idx="5">
                  <c:v>180</c:v>
                </c:pt>
                <c:pt idx="6">
                  <c:v>180</c:v>
                </c:pt>
                <c:pt idx="7">
                  <c:v>180</c:v>
                </c:pt>
                <c:pt idx="8">
                  <c:v>180</c:v>
                </c:pt>
                <c:pt idx="9">
                  <c:v>180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EE8-47E1-A4C9-6CC93DA46E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"/>
        <c:axId val="4"/>
      </c:lineChart>
      <c:catAx>
        <c:axId val="4467588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Dates</a:t>
                </a:r>
              </a:p>
            </c:rich>
          </c:tx>
          <c:layout>
            <c:manualLayout>
              <c:xMode val="edge"/>
              <c:yMode val="edge"/>
              <c:x val="0.48093512049866172"/>
              <c:y val="0.92902483343428222"/>
            </c:manualLayout>
          </c:layout>
          <c:overlay val="0"/>
          <c:spPr>
            <a:noFill/>
            <a:ln w="25400">
              <a:noFill/>
            </a:ln>
          </c:spPr>
        </c:title>
        <c:numFmt formatCode="d\-mmm\-yy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Calories</a:t>
                </a:r>
              </a:p>
            </c:rich>
          </c:tx>
          <c:layout>
            <c:manualLayout>
              <c:xMode val="edge"/>
              <c:yMode val="edge"/>
              <c:x val="1.5328603212432275E-2"/>
              <c:y val="0.44593196042802341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46758864"/>
        <c:crosses val="autoZero"/>
        <c:crossBetween val="between"/>
      </c:valAx>
      <c:catAx>
        <c:axId val="3"/>
        <c:scaling>
          <c:orientation val="minMax"/>
        </c:scaling>
        <c:delete val="1"/>
        <c:axPos val="b"/>
        <c:majorTickMark val="out"/>
        <c:minorTickMark val="none"/>
        <c:tickLblPos val="nextTo"/>
        <c:crossAx val="4"/>
        <c:crosses val="autoZero"/>
        <c:auto val="0"/>
        <c:lblAlgn val="ctr"/>
        <c:lblOffset val="100"/>
        <c:noMultiLvlLbl val="0"/>
      </c:catAx>
      <c:valAx>
        <c:axId val="4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Weight</a:t>
                </a:r>
              </a:p>
            </c:rich>
          </c:tx>
          <c:layout>
            <c:manualLayout>
              <c:xMode val="edge"/>
              <c:yMode val="edge"/>
              <c:x val="0.95516395762102435"/>
              <c:y val="0.4533642237028063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"/>
        <c:crosses val="max"/>
        <c:crossBetween val="between"/>
      </c:valAx>
      <c:spPr>
        <a:gradFill rotWithShape="0">
          <a:gsLst>
            <a:gs pos="0">
              <a:srgbClr val="000080"/>
            </a:gs>
            <a:gs pos="100000">
              <a:srgbClr val="00CCFF"/>
            </a:gs>
          </a:gsLst>
          <a:lin ang="2700000" scaled="1"/>
        </a:gra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0.79578141753052389"/>
          <c:y val="9.2903290934786987E-3"/>
          <c:w val="0.89837010729741873"/>
          <c:h val="0.1059089440742984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  <c:userShapes r:id="rId1"/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700-000000000000}">
  <sheetPr codeName="Chart3"/>
  <sheetViews>
    <sheetView zoomScale="90" workbookViewId="0"/>
  </sheetViews>
  <pageMargins left="0.75" right="0.75" top="1" bottom="1" header="0.5" footer="0.5"/>
  <headerFooter alignWithMargins="0">
    <oddHeader>&amp;A</oddHeader>
    <oddFooter>Page &amp;P</oddFooter>
  </headerFooter>
  <drawing r:id="rId1"/>
</chartsheet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5.emf"/><Relationship Id="rId3" Type="http://schemas.openxmlformats.org/officeDocument/2006/relationships/image" Target="../media/image10.emf"/><Relationship Id="rId7" Type="http://schemas.openxmlformats.org/officeDocument/2006/relationships/image" Target="../media/image6.emf"/><Relationship Id="rId12" Type="http://schemas.openxmlformats.org/officeDocument/2006/relationships/image" Target="../media/image1.emf"/><Relationship Id="rId2" Type="http://schemas.openxmlformats.org/officeDocument/2006/relationships/image" Target="../media/image11.emf"/><Relationship Id="rId1" Type="http://schemas.openxmlformats.org/officeDocument/2006/relationships/image" Target="../media/image12.emf"/><Relationship Id="rId6" Type="http://schemas.openxmlformats.org/officeDocument/2006/relationships/image" Target="../media/image7.emf"/><Relationship Id="rId11" Type="http://schemas.openxmlformats.org/officeDocument/2006/relationships/image" Target="../media/image2.emf"/><Relationship Id="rId5" Type="http://schemas.openxmlformats.org/officeDocument/2006/relationships/image" Target="../media/image8.emf"/><Relationship Id="rId10" Type="http://schemas.openxmlformats.org/officeDocument/2006/relationships/image" Target="../media/image3.emf"/><Relationship Id="rId4" Type="http://schemas.openxmlformats.org/officeDocument/2006/relationships/image" Target="../media/image9.emf"/><Relationship Id="rId9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542925</xdr:colOff>
          <xdr:row>7</xdr:row>
          <xdr:rowOff>28575</xdr:rowOff>
        </xdr:from>
        <xdr:to>
          <xdr:col>16</xdr:col>
          <xdr:colOff>504825</xdr:colOff>
          <xdr:row>9</xdr:row>
          <xdr:rowOff>28575</xdr:rowOff>
        </xdr:to>
        <xdr:sp macro="" textlink="">
          <xdr:nvSpPr>
            <xdr:cNvPr id="1072" name="cmdClear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0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171450</xdr:colOff>
          <xdr:row>4</xdr:row>
          <xdr:rowOff>47625</xdr:rowOff>
        </xdr:from>
        <xdr:to>
          <xdr:col>8</xdr:col>
          <xdr:colOff>190500</xdr:colOff>
          <xdr:row>6</xdr:row>
          <xdr:rowOff>47625</xdr:rowOff>
        </xdr:to>
        <xdr:sp macro="" textlink="">
          <xdr:nvSpPr>
            <xdr:cNvPr id="1103" name="cmdStats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0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171450</xdr:colOff>
          <xdr:row>1</xdr:row>
          <xdr:rowOff>66675</xdr:rowOff>
        </xdr:from>
        <xdr:to>
          <xdr:col>8</xdr:col>
          <xdr:colOff>190500</xdr:colOff>
          <xdr:row>3</xdr:row>
          <xdr:rowOff>66675</xdr:rowOff>
        </xdr:to>
        <xdr:sp macro="" textlink="">
          <xdr:nvSpPr>
            <xdr:cNvPr id="1106" name="cmdGraph" hidden="1">
              <a:extLst>
                <a:ext uri="{63B3BB69-23CF-44E3-9099-C40C66FF867C}">
                  <a14:compatExt spid="_x0000_s1106"/>
                </a:ext>
                <a:ext uri="{FF2B5EF4-FFF2-40B4-BE49-F238E27FC236}">
                  <a16:creationId xmlns:a16="http://schemas.microsoft.com/office/drawing/2014/main" id="{00000000-0008-0000-0000-00005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28575</xdr:colOff>
          <xdr:row>21</xdr:row>
          <xdr:rowOff>57150</xdr:rowOff>
        </xdr:from>
        <xdr:to>
          <xdr:col>14</xdr:col>
          <xdr:colOff>180975</xdr:colOff>
          <xdr:row>23</xdr:row>
          <xdr:rowOff>19050</xdr:rowOff>
        </xdr:to>
        <xdr:sp macro="" textlink="">
          <xdr:nvSpPr>
            <xdr:cNvPr id="1232" name="SpinButton1" hidden="1">
              <a:extLst>
                <a:ext uri="{63B3BB69-23CF-44E3-9099-C40C66FF867C}">
                  <a14:compatExt spid="_x0000_s1232"/>
                </a:ext>
                <a:ext uri="{FF2B5EF4-FFF2-40B4-BE49-F238E27FC236}">
                  <a16:creationId xmlns:a16="http://schemas.microsoft.com/office/drawing/2014/main" id="{00000000-0008-0000-0000-0000D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542925</xdr:colOff>
          <xdr:row>11</xdr:row>
          <xdr:rowOff>57150</xdr:rowOff>
        </xdr:from>
        <xdr:to>
          <xdr:col>16</xdr:col>
          <xdr:colOff>504825</xdr:colOff>
          <xdr:row>13</xdr:row>
          <xdr:rowOff>38100</xdr:rowOff>
        </xdr:to>
        <xdr:sp macro="" textlink="">
          <xdr:nvSpPr>
            <xdr:cNvPr id="1310" name="cmdPlan1" hidden="1">
              <a:extLst>
                <a:ext uri="{63B3BB69-23CF-44E3-9099-C40C66FF867C}">
                  <a14:compatExt spid="_x0000_s1310"/>
                </a:ext>
                <a:ext uri="{FF2B5EF4-FFF2-40B4-BE49-F238E27FC236}">
                  <a16:creationId xmlns:a16="http://schemas.microsoft.com/office/drawing/2014/main" id="{00000000-0008-0000-0000-00001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542925</xdr:colOff>
          <xdr:row>13</xdr:row>
          <xdr:rowOff>57150</xdr:rowOff>
        </xdr:from>
        <xdr:to>
          <xdr:col>16</xdr:col>
          <xdr:colOff>504825</xdr:colOff>
          <xdr:row>15</xdr:row>
          <xdr:rowOff>38100</xdr:rowOff>
        </xdr:to>
        <xdr:sp macro="" textlink="">
          <xdr:nvSpPr>
            <xdr:cNvPr id="1311" name="cmdPlan2" hidden="1">
              <a:extLst>
                <a:ext uri="{63B3BB69-23CF-44E3-9099-C40C66FF867C}">
                  <a14:compatExt spid="_x0000_s1311"/>
                </a:ext>
                <a:ext uri="{FF2B5EF4-FFF2-40B4-BE49-F238E27FC236}">
                  <a16:creationId xmlns:a16="http://schemas.microsoft.com/office/drawing/2014/main" id="{00000000-0008-0000-0000-00001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542925</xdr:colOff>
          <xdr:row>15</xdr:row>
          <xdr:rowOff>57150</xdr:rowOff>
        </xdr:from>
        <xdr:to>
          <xdr:col>16</xdr:col>
          <xdr:colOff>504825</xdr:colOff>
          <xdr:row>17</xdr:row>
          <xdr:rowOff>38100</xdr:rowOff>
        </xdr:to>
        <xdr:sp macro="" textlink="">
          <xdr:nvSpPr>
            <xdr:cNvPr id="1312" name="cmdPlan3" hidden="1">
              <a:extLst>
                <a:ext uri="{63B3BB69-23CF-44E3-9099-C40C66FF867C}">
                  <a14:compatExt spid="_x0000_s1312"/>
                </a:ext>
                <a:ext uri="{FF2B5EF4-FFF2-40B4-BE49-F238E27FC236}">
                  <a16:creationId xmlns:a16="http://schemas.microsoft.com/office/drawing/2014/main" id="{00000000-0008-0000-0000-00002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542925</xdr:colOff>
          <xdr:row>17</xdr:row>
          <xdr:rowOff>38100</xdr:rowOff>
        </xdr:from>
        <xdr:to>
          <xdr:col>16</xdr:col>
          <xdr:colOff>504825</xdr:colOff>
          <xdr:row>19</xdr:row>
          <xdr:rowOff>19050</xdr:rowOff>
        </xdr:to>
        <xdr:sp macro="" textlink="">
          <xdr:nvSpPr>
            <xdr:cNvPr id="1313" name="cmdPlan4" hidden="1">
              <a:extLst>
                <a:ext uri="{63B3BB69-23CF-44E3-9099-C40C66FF867C}">
                  <a14:compatExt spid="_x0000_s1313"/>
                </a:ext>
                <a:ext uri="{FF2B5EF4-FFF2-40B4-BE49-F238E27FC236}">
                  <a16:creationId xmlns:a16="http://schemas.microsoft.com/office/drawing/2014/main" id="{00000000-0008-0000-0000-00002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542925</xdr:colOff>
          <xdr:row>19</xdr:row>
          <xdr:rowOff>47625</xdr:rowOff>
        </xdr:from>
        <xdr:to>
          <xdr:col>16</xdr:col>
          <xdr:colOff>504825</xdr:colOff>
          <xdr:row>21</xdr:row>
          <xdr:rowOff>28575</xdr:rowOff>
        </xdr:to>
        <xdr:sp macro="" textlink="">
          <xdr:nvSpPr>
            <xdr:cNvPr id="1314" name="cmdPlan5" hidden="1">
              <a:extLst>
                <a:ext uri="{63B3BB69-23CF-44E3-9099-C40C66FF867C}">
                  <a14:compatExt spid="_x0000_s1314"/>
                </a:ext>
                <a:ext uri="{FF2B5EF4-FFF2-40B4-BE49-F238E27FC236}">
                  <a16:creationId xmlns:a16="http://schemas.microsoft.com/office/drawing/2014/main" id="{00000000-0008-0000-0000-00002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171450</xdr:colOff>
          <xdr:row>6</xdr:row>
          <xdr:rowOff>95250</xdr:rowOff>
        </xdr:from>
        <xdr:to>
          <xdr:col>8</xdr:col>
          <xdr:colOff>190500</xdr:colOff>
          <xdr:row>8</xdr:row>
          <xdr:rowOff>95250</xdr:rowOff>
        </xdr:to>
        <xdr:sp macro="" textlink="">
          <xdr:nvSpPr>
            <xdr:cNvPr id="1497" name="cmdExport" hidden="1">
              <a:extLst>
                <a:ext uri="{63B3BB69-23CF-44E3-9099-C40C66FF867C}">
                  <a14:compatExt spid="_x0000_s1497"/>
                </a:ext>
                <a:ext uri="{FF2B5EF4-FFF2-40B4-BE49-F238E27FC236}">
                  <a16:creationId xmlns:a16="http://schemas.microsoft.com/office/drawing/2014/main" id="{00000000-0008-0000-0000-0000D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542925</xdr:colOff>
          <xdr:row>2</xdr:row>
          <xdr:rowOff>152400</xdr:rowOff>
        </xdr:from>
        <xdr:to>
          <xdr:col>17</xdr:col>
          <xdr:colOff>247650</xdr:colOff>
          <xdr:row>4</xdr:row>
          <xdr:rowOff>152400</xdr:rowOff>
        </xdr:to>
        <xdr:sp macro="" textlink="">
          <xdr:nvSpPr>
            <xdr:cNvPr id="1681" name="cmdSave1" hidden="1">
              <a:extLst>
                <a:ext uri="{63B3BB69-23CF-44E3-9099-C40C66FF867C}">
                  <a14:compatExt spid="_x0000_s1681"/>
                </a:ext>
                <a:ext uri="{FF2B5EF4-FFF2-40B4-BE49-F238E27FC236}">
                  <a16:creationId xmlns:a16="http://schemas.microsoft.com/office/drawing/2014/main" id="{00000000-0008-0000-0000-00009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542925</xdr:colOff>
          <xdr:row>4</xdr:row>
          <xdr:rowOff>152400</xdr:rowOff>
        </xdr:from>
        <xdr:to>
          <xdr:col>17</xdr:col>
          <xdr:colOff>247650</xdr:colOff>
          <xdr:row>6</xdr:row>
          <xdr:rowOff>152400</xdr:rowOff>
        </xdr:to>
        <xdr:sp macro="" textlink="">
          <xdr:nvSpPr>
            <xdr:cNvPr id="1682" name="cmdSave2" hidden="1">
              <a:extLst>
                <a:ext uri="{63B3BB69-23CF-44E3-9099-C40C66FF867C}">
                  <a14:compatExt spid="_x0000_s1682"/>
                </a:ext>
                <a:ext uri="{FF2B5EF4-FFF2-40B4-BE49-F238E27FC236}">
                  <a16:creationId xmlns:a16="http://schemas.microsoft.com/office/drawing/2014/main" id="{00000000-0008-0000-0000-00009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582025" cy="5838825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9525</xdr:rowOff>
    </xdr:from>
    <xdr:to>
      <xdr:col>16</xdr:col>
      <xdr:colOff>47625</xdr:colOff>
      <xdr:row>30</xdr:row>
      <xdr:rowOff>104775</xdr:rowOff>
    </xdr:to>
    <xdr:graphicFrame macro="">
      <xdr:nvGraphicFramePr>
        <xdr:cNvPr id="318551" name="Chart 1025">
          <a:extLst>
            <a:ext uri="{FF2B5EF4-FFF2-40B4-BE49-F238E27FC236}">
              <a16:creationId xmlns:a16="http://schemas.microsoft.com/office/drawing/2014/main" id="{00000000-0008-0000-0900-000057DC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0.07214</cdr:x>
      <cdr:y>0.00951</cdr:y>
    </cdr:from>
    <cdr:to>
      <cdr:x>0.18234</cdr:x>
      <cdr:y>0.11992</cdr:y>
    </cdr:to>
    <cdr:pic>
      <cdr:nvPicPr>
        <cdr:cNvPr id="319489" name="Picture 57" descr="muscleDodgersBlue">
          <a:extLst xmlns:a="http://schemas.openxmlformats.org/drawingml/2006/main">
            <a:ext uri="{FF2B5EF4-FFF2-40B4-BE49-F238E27FC236}">
              <a16:creationId xmlns:a16="http://schemas.microsoft.com/office/drawing/2014/main" id="{1927B6B2-34CC-4DA7-8A5C-77A8F5955EE3}"/>
            </a:ext>
          </a:extLst>
        </cdr:cNvPr>
        <cdr:cNvPicPr>
          <a:picLocks xmlns:a="http://schemas.openxmlformats.org/drawingml/2006/main" noChangeAspect="1" noChangeArrowheads="1"/>
        </cdr:cNvPicPr>
      </cdr:nvPicPr>
      <cdr:blipFill>
        <a:blip xmlns:a="http://schemas.openxmlformats.org/drawingml/2006/main" xmlns:r="http://schemas.openxmlformats.org/officeDocument/2006/relationships" r:embed="rId1"/>
        <a:srcRect xmlns:a="http://schemas.openxmlformats.org/drawingml/2006/main"/>
        <a:stretch xmlns:a="http://schemas.openxmlformats.org/drawingml/2006/main">
          <a:fillRect/>
        </a:stretch>
      </cdr:blipFill>
      <cdr:spPr bwMode="auto">
        <a:xfrm xmlns:a="http://schemas.openxmlformats.org/drawingml/2006/main">
          <a:off x="814824" y="50800"/>
          <a:ext cx="1067169" cy="647476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>
            <a:alpha val="0"/>
          </a:srgbClr>
        </a:solidFill>
        <a:ln xmlns:a="http://schemas.openxmlformats.org/drawingml/2006/main" w="9525">
          <a:noFill/>
          <a:miter lim="800000"/>
          <a:headEnd/>
          <a:tailEnd/>
        </a:ln>
      </cdr:spPr>
    </cdr:pic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W70"/>
  <sheetViews>
    <sheetView showZeros="0" tabSelected="1" zoomScale="80" zoomScaleNormal="80" workbookViewId="0">
      <pane ySplit="25" topLeftCell="A26" activePane="bottomLeft" state="frozenSplit"/>
      <selection activeCell="AA4" sqref="AA4:AB76"/>
      <selection pane="bottomLeft" activeCell="G17" sqref="G17:H17"/>
    </sheetView>
  </sheetViews>
  <sheetFormatPr defaultColWidth="8.85546875" defaultRowHeight="12.75"/>
  <cols>
    <col min="1" max="1" width="2.7109375" style="3" customWidth="1"/>
    <col min="2" max="2" width="35.7109375" style="3" customWidth="1"/>
    <col min="3" max="3" width="8.7109375" style="3" customWidth="1"/>
    <col min="4" max="4" width="9.7109375" style="3" customWidth="1"/>
    <col min="5" max="5" width="8.5703125" style="3" customWidth="1"/>
    <col min="6" max="6" width="8.7109375" style="3" customWidth="1"/>
    <col min="7" max="7" width="7.28515625" style="3" customWidth="1"/>
    <col min="8" max="8" width="8.42578125" style="3" customWidth="1"/>
    <col min="9" max="9" width="8" style="3" customWidth="1"/>
    <col min="10" max="10" width="2.7109375" style="3" customWidth="1"/>
    <col min="11" max="11" width="35.7109375" style="3" customWidth="1"/>
    <col min="12" max="12" width="8.7109375" style="3" customWidth="1"/>
    <col min="13" max="13" width="9.7109375" style="3" customWidth="1"/>
    <col min="14" max="15" width="8.7109375" style="3" customWidth="1"/>
    <col min="16" max="16" width="7.85546875" style="3" customWidth="1"/>
    <col min="17" max="17" width="8.42578125" style="3" customWidth="1"/>
    <col min="18" max="18" width="7.28515625" style="3" customWidth="1"/>
    <col min="19" max="19" width="6.28515625" style="3" bestFit="1" customWidth="1"/>
    <col min="20" max="16384" width="8.85546875" style="3"/>
  </cols>
  <sheetData>
    <row r="1" spans="1:23" ht="55.5" customHeight="1" thickBot="1">
      <c r="A1" s="207" t="s">
        <v>1486</v>
      </c>
      <c r="B1" s="208"/>
      <c r="C1" s="208"/>
      <c r="D1" s="208"/>
      <c r="E1" s="208"/>
      <c r="F1" s="208"/>
      <c r="G1" s="208"/>
      <c r="H1" s="208"/>
      <c r="I1" s="208"/>
      <c r="J1" s="208"/>
      <c r="K1" s="208"/>
      <c r="L1" s="208"/>
      <c r="M1" s="208"/>
      <c r="N1" s="208"/>
      <c r="O1" s="208"/>
      <c r="P1" s="208"/>
      <c r="Q1" s="208"/>
      <c r="R1" s="208"/>
      <c r="S1" s="208"/>
      <c r="T1" s="208"/>
      <c r="U1" s="208"/>
      <c r="V1" s="208"/>
      <c r="W1" s="209"/>
    </row>
    <row r="2" spans="1:23" ht="6" customHeight="1" thickBot="1"/>
    <row r="3" spans="1:23" ht="13.5" thickBot="1">
      <c r="B3" s="6" t="s">
        <v>1478</v>
      </c>
      <c r="C3" s="217"/>
      <c r="D3" s="218"/>
      <c r="L3" s="203" t="s">
        <v>8</v>
      </c>
    </row>
    <row r="4" spans="1:23" ht="6" customHeight="1" thickBot="1">
      <c r="B4" s="6"/>
    </row>
    <row r="5" spans="1:23" ht="13.5" thickBot="1">
      <c r="B5" s="6" t="s">
        <v>1</v>
      </c>
      <c r="C5" s="8" t="s">
        <v>1485</v>
      </c>
      <c r="K5" s="6" t="s">
        <v>9</v>
      </c>
      <c r="L5" s="121">
        <f>IF(Body.type&gt;0,VLOOKUP(Body.type,Body_type,2,FALSE),)</f>
        <v>0.5</v>
      </c>
      <c r="M5" s="128" t="s">
        <v>12</v>
      </c>
      <c r="N5" s="9">
        <f>($C$21*L5)/4</f>
        <v>421.18290000000007</v>
      </c>
      <c r="O5" s="126" t="s">
        <v>1283</v>
      </c>
    </row>
    <row r="6" spans="1:23" ht="6" customHeight="1" thickBot="1">
      <c r="B6" s="6"/>
      <c r="C6" s="6"/>
      <c r="M6" s="127"/>
      <c r="O6" s="127"/>
    </row>
    <row r="7" spans="1:23" ht="13.5" thickBot="1">
      <c r="B7" s="6" t="s">
        <v>3</v>
      </c>
      <c r="C7" s="8">
        <v>70</v>
      </c>
      <c r="D7" s="129" t="s">
        <v>1381</v>
      </c>
      <c r="E7" s="130" t="s">
        <v>1379</v>
      </c>
      <c r="K7" s="6" t="s">
        <v>10</v>
      </c>
      <c r="L7" s="121">
        <f>IF(Body.type&gt;0,VLOOKUP(Body.type,Body_type,3,FALSE),)</f>
        <v>0.35</v>
      </c>
      <c r="M7" s="128" t="s">
        <v>12</v>
      </c>
      <c r="N7" s="9">
        <f>($C$21*L7)/4</f>
        <v>294.82803000000001</v>
      </c>
      <c r="O7" s="126" t="s">
        <v>1283</v>
      </c>
    </row>
    <row r="8" spans="1:23" ht="6" customHeight="1" thickBot="1">
      <c r="B8" s="6"/>
      <c r="C8" s="6"/>
      <c r="D8" s="127"/>
      <c r="M8" s="127"/>
      <c r="O8" s="127"/>
    </row>
    <row r="9" spans="1:23" ht="13.5" thickBot="1">
      <c r="B9" s="6" t="s">
        <v>4</v>
      </c>
      <c r="C9" s="8">
        <v>132</v>
      </c>
      <c r="D9" s="129" t="s">
        <v>1380</v>
      </c>
      <c r="E9" s="130" t="s">
        <v>1379</v>
      </c>
      <c r="K9" s="6" t="s">
        <v>11</v>
      </c>
      <c r="L9" s="121">
        <f>IF(Body.type&gt;0,VLOOKUP(Body.type,Body_type,4,FALSE),)</f>
        <v>0.15</v>
      </c>
      <c r="M9" s="128" t="s">
        <v>12</v>
      </c>
      <c r="N9" s="9">
        <f>($C$21*L9)/9</f>
        <v>56.157720000000012</v>
      </c>
      <c r="O9" s="126" t="s">
        <v>1283</v>
      </c>
    </row>
    <row r="10" spans="1:23" ht="6" customHeight="1" thickBot="1">
      <c r="B10" s="6"/>
      <c r="D10" s="127"/>
    </row>
    <row r="11" spans="1:23" ht="14.25" thickTop="1" thickBot="1">
      <c r="B11" s="6" t="s">
        <v>5</v>
      </c>
      <c r="C11" s="8">
        <v>22</v>
      </c>
      <c r="D11" s="126" t="s">
        <v>6</v>
      </c>
      <c r="K11" s="14" t="s">
        <v>1273</v>
      </c>
      <c r="L11" s="23" t="s">
        <v>1274</v>
      </c>
      <c r="M11" s="23" t="s">
        <v>1272</v>
      </c>
      <c r="N11" s="15" t="s">
        <v>1275</v>
      </c>
      <c r="P11" s="204" t="s">
        <v>336</v>
      </c>
      <c r="R11" s="202" t="s">
        <v>1474</v>
      </c>
    </row>
    <row r="12" spans="1:23" ht="6" customHeight="1" thickBot="1">
      <c r="B12" s="6"/>
      <c r="K12" s="12"/>
      <c r="L12" s="4"/>
      <c r="M12" s="4"/>
      <c r="N12" s="13"/>
    </row>
    <row r="13" spans="1:23" ht="13.5" thickBot="1">
      <c r="B13" s="6" t="s">
        <v>485</v>
      </c>
      <c r="C13" s="212" t="s">
        <v>481</v>
      </c>
      <c r="D13" s="213"/>
      <c r="E13" s="213"/>
      <c r="F13" s="214"/>
      <c r="K13" s="24" t="s">
        <v>1474</v>
      </c>
      <c r="L13" s="55">
        <f>ROUND(SUM(E$28,E$39,E$50,E$61,N$28,N$39,N$49),)</f>
        <v>0</v>
      </c>
      <c r="M13" s="56">
        <f>L13/$C$21</f>
        <v>0</v>
      </c>
      <c r="N13" s="57">
        <v>1</v>
      </c>
      <c r="P13" s="4"/>
      <c r="Q13" s="17"/>
      <c r="R13" s="9">
        <f ca="1">'Plan 1'!J$1</f>
        <v>3503</v>
      </c>
      <c r="S13" s="126"/>
    </row>
    <row r="14" spans="1:23" ht="6" customHeight="1" thickBot="1">
      <c r="B14" s="6"/>
      <c r="K14" s="12"/>
      <c r="L14" s="22"/>
      <c r="M14" s="22"/>
      <c r="N14" s="19"/>
    </row>
    <row r="15" spans="1:23" ht="13.5" thickBot="1">
      <c r="B15" s="6" t="s">
        <v>650</v>
      </c>
      <c r="C15" s="212" t="s">
        <v>527</v>
      </c>
      <c r="D15" s="213"/>
      <c r="K15" s="24" t="s">
        <v>1409</v>
      </c>
      <c r="L15" s="55">
        <f>ROUND(SUM(H$28,H$39,H$50,H$61,Q$28,Q$39,Q$49),)</f>
        <v>0</v>
      </c>
      <c r="M15" s="56">
        <f>IF($L$13&gt;0,L15/$L$13*4,)</f>
        <v>0</v>
      </c>
      <c r="N15" s="57">
        <f>L5</f>
        <v>0.5</v>
      </c>
      <c r="R15" s="9">
        <f ca="1">'Plan 2'!J$1</f>
        <v>3279</v>
      </c>
      <c r="S15" s="126"/>
    </row>
    <row r="16" spans="1:23" ht="6" customHeight="1" thickBot="1">
      <c r="K16" s="12"/>
      <c r="L16" s="22"/>
      <c r="M16" s="22"/>
      <c r="N16" s="19"/>
    </row>
    <row r="17" spans="1:19" ht="13.5" thickBot="1">
      <c r="B17" s="6" t="s">
        <v>486</v>
      </c>
      <c r="C17" s="9">
        <f>IF(C5="Male",66+6.23*C9*IF(D9="kgs",2.2,1)+12.7*C7/IF(D7="cms",2.54,1)-6.8*C11,655+4.35*C9*IF(D9="kgs",2.2,1)+4.7*(C7/IF(D7="cms",2.54,1)-C11))*IF(C13&gt;0,VLOOKUP(C13,HB_factors,2,FALSE),1.55)</f>
        <v>2807.8860000000004</v>
      </c>
      <c r="D17" s="126" t="s">
        <v>7</v>
      </c>
      <c r="F17" s="6" t="s">
        <v>493</v>
      </c>
      <c r="G17" s="212" t="s">
        <v>513</v>
      </c>
      <c r="H17" s="213"/>
      <c r="K17" s="24" t="s">
        <v>1410</v>
      </c>
      <c r="L17" s="55">
        <f>ROUND(SUM(F$28,F$39,F$50,F$61,O$28,O$39,O$49),)</f>
        <v>0</v>
      </c>
      <c r="M17" s="56">
        <f>IF($L$13&gt;0,L17/$L$13*4,)</f>
        <v>0</v>
      </c>
      <c r="N17" s="57">
        <f>L7</f>
        <v>0.35</v>
      </c>
      <c r="R17" s="9">
        <f ca="1">'Plan 3'!J$1</f>
        <v>3455</v>
      </c>
      <c r="S17" s="126"/>
    </row>
    <row r="18" spans="1:19" ht="6" customHeight="1" thickBot="1">
      <c r="B18" s="5"/>
      <c r="K18" s="12"/>
      <c r="L18" s="22"/>
      <c r="M18" s="22"/>
      <c r="N18" s="19"/>
    </row>
    <row r="19" spans="1:19" ht="13.5" thickBot="1">
      <c r="B19" s="6" t="s">
        <v>22</v>
      </c>
      <c r="C19" s="215" t="s">
        <v>518</v>
      </c>
      <c r="D19" s="216"/>
      <c r="G19" s="205" t="str">
        <f>" →    "&amp;IF(RIGHT(C19,4)="loss","Caloric reduction: ","Caloric increase: ")</f>
        <v xml:space="preserve"> →    Caloric increase: </v>
      </c>
      <c r="H19" s="206">
        <f>IF(Body.type&gt;0,VLOOKUP(Body.type,Body_type,IF(Goal="fat loss",7,6),FALSE),)</f>
        <v>0.2</v>
      </c>
      <c r="K19" s="24" t="s">
        <v>1411</v>
      </c>
      <c r="L19" s="55">
        <f>ROUND(SUM(G$28,G$39,G$50,G$61,P$28,P$39,P$49),)</f>
        <v>0</v>
      </c>
      <c r="M19" s="56">
        <f>IF($L$13&gt;0,L19/$L$13*9,)</f>
        <v>0</v>
      </c>
      <c r="N19" s="57">
        <f>L9</f>
        <v>0.15</v>
      </c>
      <c r="R19" s="9">
        <f ca="1">'Plan 4'!J$1</f>
        <v>0</v>
      </c>
      <c r="S19" s="126"/>
    </row>
    <row r="20" spans="1:19" ht="6" customHeight="1" thickBot="1">
      <c r="B20" s="5"/>
      <c r="K20" s="12"/>
      <c r="L20" s="22"/>
      <c r="M20" s="22"/>
      <c r="N20" s="19"/>
    </row>
    <row r="21" spans="1:19" ht="13.5" thickBot="1">
      <c r="B21" s="6" t="s">
        <v>2</v>
      </c>
      <c r="C21" s="10">
        <f>C17*(1-IF(RIGHT(C19,4)="loss",1,-1)*H19)</f>
        <v>3369.4632000000006</v>
      </c>
      <c r="D21" s="126" t="s">
        <v>7</v>
      </c>
      <c r="G21" s="6" t="s">
        <v>1284</v>
      </c>
      <c r="H21" s="18" t="s">
        <v>1283</v>
      </c>
      <c r="K21" s="25" t="s">
        <v>1412</v>
      </c>
      <c r="L21" s="55">
        <f>ROUND(SUM(I$28,I$39,I$50,I$61,R$28,R$39,R$49),)</f>
        <v>0</v>
      </c>
      <c r="M21" s="56">
        <f>IF(L13&gt;0,L21/$L$13,)</f>
        <v>0</v>
      </c>
      <c r="N21" s="57"/>
      <c r="R21" s="9">
        <f ca="1">'Plan 5'!J$1</f>
        <v>0</v>
      </c>
      <c r="S21" s="126"/>
    </row>
    <row r="22" spans="1:19" ht="6" customHeight="1" thickBot="1"/>
    <row r="23" spans="1:19" ht="13.5" thickBot="1">
      <c r="B23" s="6" t="s">
        <v>1231</v>
      </c>
      <c r="C23" s="8">
        <v>7</v>
      </c>
      <c r="D23" s="125" t="str">
        <f>IF(units="grams","oz.","grams")&amp;"      →"</f>
        <v>oz.      →</v>
      </c>
      <c r="E23" s="54">
        <f>ROUND(C23*IF(units="grams",28.34952,0.03527396),IF(units="grams",,1))</f>
        <v>198</v>
      </c>
      <c r="F23" s="125" t="str">
        <f>units</f>
        <v>grams</v>
      </c>
      <c r="K23" s="6" t="s">
        <v>466</v>
      </c>
      <c r="L23" s="102">
        <f>ROUND(C9*IF(D9="kgs",2.2,1)*2/3,)</f>
        <v>88</v>
      </c>
      <c r="M23" s="6" t="s">
        <v>917</v>
      </c>
      <c r="N23" s="103">
        <v>116</v>
      </c>
      <c r="O23" s="77"/>
    </row>
    <row r="24" spans="1:19" ht="6" customHeight="1" thickBot="1"/>
    <row r="25" spans="1:19" ht="16.5" thickBot="1">
      <c r="B25" s="123" t="s">
        <v>476</v>
      </c>
      <c r="C25" s="219" t="s">
        <v>1407</v>
      </c>
      <c r="D25" s="220"/>
      <c r="E25" s="220"/>
      <c r="H25" s="7"/>
      <c r="I25" s="7"/>
      <c r="J25" s="7"/>
      <c r="K25" s="6" t="s">
        <v>648</v>
      </c>
      <c r="L25" s="149">
        <f>ROUND(C9*IF(D9="kgs",2.2,1)*0.25,)</f>
        <v>33</v>
      </c>
      <c r="M25" s="125" t="s">
        <v>99</v>
      </c>
      <c r="N25" s="149">
        <f>ROUND(C9*IF(D9="kgs",2.2,1)*0.4,)</f>
        <v>53</v>
      </c>
      <c r="O25" s="125" t="s">
        <v>1476</v>
      </c>
      <c r="P25" s="9">
        <f>SUM(L25,N25)*4</f>
        <v>344</v>
      </c>
      <c r="Q25" s="125" t="s">
        <v>1474</v>
      </c>
    </row>
    <row r="26" spans="1:19" ht="6" customHeight="1" thickBot="1"/>
    <row r="27" spans="1:19" ht="14.25" thickTop="1" thickBot="1">
      <c r="A27" s="38"/>
      <c r="B27" s="124"/>
      <c r="C27" s="79" t="s">
        <v>1271</v>
      </c>
      <c r="D27" s="166" t="s">
        <v>546</v>
      </c>
      <c r="E27" s="178">
        <f>SUM(F27*4,G27*9,H27*4)</f>
        <v>785.08492560000013</v>
      </c>
      <c r="F27" s="167">
        <f>INDEX(Macronutrients,1,3+IF(Off_day,3,))*$N$7</f>
        <v>48.941452980000001</v>
      </c>
      <c r="G27" s="167">
        <f>INDEX(Macronutrients,1,4+IF(Off_day,3,))*$N$9</f>
        <v>9.3221815200000027</v>
      </c>
      <c r="H27" s="167">
        <f>INDEX(Macronutrients,1,2+IF(Off_day,3,))*$N$5</f>
        <v>126.35487000000002</v>
      </c>
      <c r="I27" s="81"/>
      <c r="J27" s="38"/>
      <c r="K27" s="124">
        <f>$B$27</f>
        <v>0</v>
      </c>
      <c r="L27" s="79" t="s">
        <v>1271</v>
      </c>
      <c r="M27" s="166" t="s">
        <v>546</v>
      </c>
      <c r="N27" s="178">
        <f>SUM(O27*4,P27*9,Q27*4)</f>
        <v>616.61176560000013</v>
      </c>
      <c r="O27" s="167">
        <f>INDEX(Macronutrients,5,3+IF(Off_day,3,))*$N$7</f>
        <v>48.941452980000001</v>
      </c>
      <c r="P27" s="167">
        <f>INDEX(Macronutrients,5,4+IF(Off_day,3,))*$N$9</f>
        <v>9.3221815200000027</v>
      </c>
      <c r="Q27" s="167">
        <f>INDEX(Macronutrients,5,2+IF(Off_day,3,))*$N$5</f>
        <v>84.236580000000018</v>
      </c>
      <c r="R27" s="81"/>
    </row>
    <row r="28" spans="1:19" ht="13.5" thickBot="1">
      <c r="A28" s="38"/>
      <c r="B28" s="82" t="s">
        <v>1482</v>
      </c>
      <c r="C28" s="193" t="s">
        <v>1270</v>
      </c>
      <c r="D28" s="83"/>
      <c r="E28" s="161">
        <f>SUM(E30:E36)</f>
        <v>0</v>
      </c>
      <c r="F28" s="150">
        <f>SUM(F30:F36)</f>
        <v>0</v>
      </c>
      <c r="G28" s="150">
        <f>SUM(G30:G36)</f>
        <v>0</v>
      </c>
      <c r="H28" s="150">
        <f>SUM(H30:H36)</f>
        <v>0</v>
      </c>
      <c r="I28" s="151">
        <f>SUM(I30:I36)</f>
        <v>0</v>
      </c>
      <c r="J28" s="38"/>
      <c r="K28" s="82" t="s">
        <v>1484</v>
      </c>
      <c r="L28" s="193" t="s">
        <v>1270</v>
      </c>
      <c r="M28" s="83"/>
      <c r="N28" s="161">
        <f>SUM(N30:N36)</f>
        <v>0</v>
      </c>
      <c r="O28" s="150">
        <f>SUM(O30:O36)</f>
        <v>0</v>
      </c>
      <c r="P28" s="150">
        <f>SUM(P30:P36)</f>
        <v>0</v>
      </c>
      <c r="Q28" s="150">
        <f>SUM(Q30:Q36)</f>
        <v>0</v>
      </c>
      <c r="R28" s="151">
        <f>SUM(R30:R36)</f>
        <v>0</v>
      </c>
    </row>
    <row r="29" spans="1:19" ht="13.5" thickBot="1">
      <c r="A29" s="38"/>
      <c r="B29" s="16" t="s">
        <v>1269</v>
      </c>
      <c r="C29" s="34" t="str">
        <f>PROPER(units)</f>
        <v>Grams</v>
      </c>
      <c r="D29" s="197" t="s">
        <v>647</v>
      </c>
      <c r="E29" s="34" t="s">
        <v>1474</v>
      </c>
      <c r="F29" s="35" t="s">
        <v>99</v>
      </c>
      <c r="G29" s="34" t="s">
        <v>1475</v>
      </c>
      <c r="H29" s="35" t="s">
        <v>1476</v>
      </c>
      <c r="I29" s="36" t="s">
        <v>1477</v>
      </c>
      <c r="J29" s="38"/>
      <c r="K29" s="16" t="s">
        <v>1269</v>
      </c>
      <c r="L29" s="34" t="str">
        <f>$C$29</f>
        <v>Grams</v>
      </c>
      <c r="M29" s="197" t="s">
        <v>647</v>
      </c>
      <c r="N29" s="34" t="s">
        <v>1474</v>
      </c>
      <c r="O29" s="35" t="s">
        <v>99</v>
      </c>
      <c r="P29" s="34" t="s">
        <v>1475</v>
      </c>
      <c r="Q29" s="35" t="s">
        <v>1476</v>
      </c>
      <c r="R29" s="36" t="s">
        <v>1477</v>
      </c>
    </row>
    <row r="30" spans="1:19">
      <c r="A30" s="38"/>
      <c r="B30" s="45"/>
      <c r="C30" s="194"/>
      <c r="D30" s="198">
        <f t="shared" ref="D30:D36" si="0">Measure</f>
        <v>0</v>
      </c>
      <c r="E30" s="162">
        <f t="shared" ref="E30:E36" si="1">Calories</f>
        <v>0</v>
      </c>
      <c r="F30" s="40">
        <f t="shared" ref="F30:F36" si="2">Protein</f>
        <v>0</v>
      </c>
      <c r="G30" s="39">
        <f t="shared" ref="G30:G36" si="3">Fat</f>
        <v>0</v>
      </c>
      <c r="H30" s="40">
        <f t="shared" ref="H30:H36" si="4">Carbs</f>
        <v>0</v>
      </c>
      <c r="I30" s="41">
        <f t="shared" ref="I30:I36" si="5">Fiber</f>
        <v>0</v>
      </c>
      <c r="J30" s="38"/>
      <c r="K30" s="45"/>
      <c r="L30" s="194"/>
      <c r="M30" s="198">
        <f t="shared" ref="M30:M36" si="6">Measure</f>
        <v>0</v>
      </c>
      <c r="N30" s="162">
        <f t="shared" ref="N30:N36" si="7">Calories</f>
        <v>0</v>
      </c>
      <c r="O30" s="40">
        <f t="shared" ref="O30:O36" si="8">Protein</f>
        <v>0</v>
      </c>
      <c r="P30" s="39">
        <f t="shared" ref="P30:P36" si="9">Fat</f>
        <v>0</v>
      </c>
      <c r="Q30" s="40">
        <f t="shared" ref="Q30:Q36" si="10">Carbs</f>
        <v>0</v>
      </c>
      <c r="R30" s="41">
        <f t="shared" ref="R30:R36" si="11">Fiber</f>
        <v>0</v>
      </c>
    </row>
    <row r="31" spans="1:19">
      <c r="A31" s="38"/>
      <c r="B31" s="46"/>
      <c r="C31" s="195"/>
      <c r="D31" s="198">
        <f t="shared" si="0"/>
        <v>0</v>
      </c>
      <c r="E31" s="162">
        <f t="shared" si="1"/>
        <v>0</v>
      </c>
      <c r="F31" s="40">
        <f t="shared" si="2"/>
        <v>0</v>
      </c>
      <c r="G31" s="39">
        <f t="shared" si="3"/>
        <v>0</v>
      </c>
      <c r="H31" s="40">
        <f t="shared" si="4"/>
        <v>0</v>
      </c>
      <c r="I31" s="41">
        <f t="shared" si="5"/>
        <v>0</v>
      </c>
      <c r="J31" s="38"/>
      <c r="K31" s="46"/>
      <c r="L31" s="195"/>
      <c r="M31" s="198">
        <f t="shared" si="6"/>
        <v>0</v>
      </c>
      <c r="N31" s="162">
        <f t="shared" si="7"/>
        <v>0</v>
      </c>
      <c r="O31" s="40">
        <f t="shared" si="8"/>
        <v>0</v>
      </c>
      <c r="P31" s="39">
        <f t="shared" si="9"/>
        <v>0</v>
      </c>
      <c r="Q31" s="40">
        <f t="shared" si="10"/>
        <v>0</v>
      </c>
      <c r="R31" s="41">
        <f t="shared" si="11"/>
        <v>0</v>
      </c>
    </row>
    <row r="32" spans="1:19">
      <c r="A32" s="38"/>
      <c r="B32" s="46"/>
      <c r="C32" s="195"/>
      <c r="D32" s="198">
        <f t="shared" si="0"/>
        <v>0</v>
      </c>
      <c r="E32" s="162">
        <f t="shared" si="1"/>
        <v>0</v>
      </c>
      <c r="F32" s="40">
        <f t="shared" si="2"/>
        <v>0</v>
      </c>
      <c r="G32" s="39">
        <f t="shared" si="3"/>
        <v>0</v>
      </c>
      <c r="H32" s="40">
        <f t="shared" si="4"/>
        <v>0</v>
      </c>
      <c r="I32" s="41">
        <f t="shared" si="5"/>
        <v>0</v>
      </c>
      <c r="J32" s="38"/>
      <c r="K32" s="46"/>
      <c r="L32" s="195"/>
      <c r="M32" s="198">
        <f t="shared" si="6"/>
        <v>0</v>
      </c>
      <c r="N32" s="162">
        <f t="shared" si="7"/>
        <v>0</v>
      </c>
      <c r="O32" s="40">
        <f t="shared" si="8"/>
        <v>0</v>
      </c>
      <c r="P32" s="39">
        <f t="shared" si="9"/>
        <v>0</v>
      </c>
      <c r="Q32" s="40">
        <f t="shared" si="10"/>
        <v>0</v>
      </c>
      <c r="R32" s="41">
        <f t="shared" si="11"/>
        <v>0</v>
      </c>
    </row>
    <row r="33" spans="1:18">
      <c r="A33" s="38"/>
      <c r="B33" s="46"/>
      <c r="C33" s="195"/>
      <c r="D33" s="198">
        <f t="shared" si="0"/>
        <v>0</v>
      </c>
      <c r="E33" s="162">
        <f t="shared" si="1"/>
        <v>0</v>
      </c>
      <c r="F33" s="40">
        <f t="shared" si="2"/>
        <v>0</v>
      </c>
      <c r="G33" s="39">
        <f t="shared" si="3"/>
        <v>0</v>
      </c>
      <c r="H33" s="40">
        <f t="shared" si="4"/>
        <v>0</v>
      </c>
      <c r="I33" s="41">
        <f t="shared" si="5"/>
        <v>0</v>
      </c>
      <c r="J33" s="38"/>
      <c r="K33" s="46"/>
      <c r="L33" s="195"/>
      <c r="M33" s="198">
        <f t="shared" si="6"/>
        <v>0</v>
      </c>
      <c r="N33" s="162">
        <f t="shared" si="7"/>
        <v>0</v>
      </c>
      <c r="O33" s="40">
        <f t="shared" si="8"/>
        <v>0</v>
      </c>
      <c r="P33" s="39">
        <f t="shared" si="9"/>
        <v>0</v>
      </c>
      <c r="Q33" s="40">
        <f t="shared" si="10"/>
        <v>0</v>
      </c>
      <c r="R33" s="41">
        <f t="shared" si="11"/>
        <v>0</v>
      </c>
    </row>
    <row r="34" spans="1:18">
      <c r="B34" s="46"/>
      <c r="C34" s="195"/>
      <c r="D34" s="198">
        <f t="shared" si="0"/>
        <v>0</v>
      </c>
      <c r="E34" s="162">
        <f t="shared" si="1"/>
        <v>0</v>
      </c>
      <c r="F34" s="40">
        <f t="shared" si="2"/>
        <v>0</v>
      </c>
      <c r="G34" s="39">
        <f t="shared" si="3"/>
        <v>0</v>
      </c>
      <c r="H34" s="40">
        <f t="shared" si="4"/>
        <v>0</v>
      </c>
      <c r="I34" s="41">
        <f t="shared" si="5"/>
        <v>0</v>
      </c>
      <c r="K34" s="46"/>
      <c r="L34" s="195"/>
      <c r="M34" s="198">
        <f t="shared" si="6"/>
        <v>0</v>
      </c>
      <c r="N34" s="162">
        <f t="shared" si="7"/>
        <v>0</v>
      </c>
      <c r="O34" s="40">
        <f t="shared" si="8"/>
        <v>0</v>
      </c>
      <c r="P34" s="39">
        <f t="shared" si="9"/>
        <v>0</v>
      </c>
      <c r="Q34" s="40">
        <f t="shared" si="10"/>
        <v>0</v>
      </c>
      <c r="R34" s="41">
        <f t="shared" si="11"/>
        <v>0</v>
      </c>
    </row>
    <row r="35" spans="1:18">
      <c r="A35" s="4"/>
      <c r="B35" s="46"/>
      <c r="C35" s="195"/>
      <c r="D35" s="198">
        <f t="shared" si="0"/>
        <v>0</v>
      </c>
      <c r="E35" s="162">
        <f t="shared" si="1"/>
        <v>0</v>
      </c>
      <c r="F35" s="40">
        <f t="shared" si="2"/>
        <v>0</v>
      </c>
      <c r="G35" s="39">
        <f t="shared" si="3"/>
        <v>0</v>
      </c>
      <c r="H35" s="40">
        <f t="shared" si="4"/>
        <v>0</v>
      </c>
      <c r="I35" s="41">
        <f t="shared" si="5"/>
        <v>0</v>
      </c>
      <c r="J35" s="4"/>
      <c r="K35" s="46"/>
      <c r="L35" s="195"/>
      <c r="M35" s="198">
        <f t="shared" si="6"/>
        <v>0</v>
      </c>
      <c r="N35" s="162">
        <f t="shared" si="7"/>
        <v>0</v>
      </c>
      <c r="O35" s="40">
        <f t="shared" si="8"/>
        <v>0</v>
      </c>
      <c r="P35" s="39">
        <f t="shared" si="9"/>
        <v>0</v>
      </c>
      <c r="Q35" s="40">
        <f t="shared" si="10"/>
        <v>0</v>
      </c>
      <c r="R35" s="41">
        <f t="shared" si="11"/>
        <v>0</v>
      </c>
    </row>
    <row r="36" spans="1:18" ht="13.5" thickBot="1">
      <c r="B36" s="47"/>
      <c r="C36" s="196"/>
      <c r="D36" s="177">
        <f t="shared" si="0"/>
        <v>0</v>
      </c>
      <c r="E36" s="163">
        <f t="shared" si="1"/>
        <v>0</v>
      </c>
      <c r="F36" s="43">
        <f t="shared" si="2"/>
        <v>0</v>
      </c>
      <c r="G36" s="42">
        <f t="shared" si="3"/>
        <v>0</v>
      </c>
      <c r="H36" s="43">
        <f t="shared" si="4"/>
        <v>0</v>
      </c>
      <c r="I36" s="44">
        <f t="shared" si="5"/>
        <v>0</v>
      </c>
      <c r="K36" s="47"/>
      <c r="L36" s="196"/>
      <c r="M36" s="177">
        <f t="shared" si="6"/>
        <v>0</v>
      </c>
      <c r="N36" s="163">
        <f t="shared" si="7"/>
        <v>0</v>
      </c>
      <c r="O36" s="43">
        <f t="shared" si="8"/>
        <v>0</v>
      </c>
      <c r="P36" s="42">
        <f t="shared" si="9"/>
        <v>0</v>
      </c>
      <c r="Q36" s="43">
        <f t="shared" si="10"/>
        <v>0</v>
      </c>
      <c r="R36" s="44">
        <f t="shared" si="11"/>
        <v>0</v>
      </c>
    </row>
    <row r="37" spans="1:18" ht="13.5" thickBot="1">
      <c r="B37" s="77" t="s">
        <v>268</v>
      </c>
      <c r="K37" s="77"/>
    </row>
    <row r="38" spans="1:18" ht="14.25" thickTop="1" thickBot="1">
      <c r="B38" s="124">
        <f>$B$27</f>
        <v>0</v>
      </c>
      <c r="C38" s="79" t="s">
        <v>1271</v>
      </c>
      <c r="D38" s="166" t="s">
        <v>546</v>
      </c>
      <c r="E38" s="178">
        <f>SUM(F38*4,G38*9,H38*4)</f>
        <v>419.49816840000005</v>
      </c>
      <c r="F38" s="167">
        <f>INDEX(Macronutrients,2,3+IF(Off_day,3,))*$N$7</f>
        <v>48.941452980000001</v>
      </c>
      <c r="G38" s="167">
        <f>INDEX(Macronutrients,2,4+IF(Off_day,3,))*$N$9</f>
        <v>9.3221815200000027</v>
      </c>
      <c r="H38" s="167">
        <f>INDEX(Macronutrients,2,2+IF(Off_day,3,))*$N$5</f>
        <v>34.958180700000007</v>
      </c>
      <c r="I38" s="81"/>
      <c r="K38" s="124">
        <f>$B$27</f>
        <v>0</v>
      </c>
      <c r="L38" s="79" t="s">
        <v>1271</v>
      </c>
      <c r="M38" s="166" t="s">
        <v>546</v>
      </c>
      <c r="N38" s="178">
        <f>SUM(O38*4,P38*9,Q38*4)</f>
        <v>419.49816840000005</v>
      </c>
      <c r="O38" s="167">
        <f>INDEX(Macronutrients,6,3+IF(Off_day,3,))*$N$7</f>
        <v>48.941452980000001</v>
      </c>
      <c r="P38" s="167">
        <f>INDEX(Macronutrients,6,4+IF(Off_day,3,))*$N$9</f>
        <v>9.3221815200000027</v>
      </c>
      <c r="Q38" s="167">
        <f>INDEX(Macronutrients,6,2+IF(Off_day,3,))*$N$5</f>
        <v>34.958180700000007</v>
      </c>
      <c r="R38" s="81"/>
    </row>
    <row r="39" spans="1:18" ht="13.5" thickBot="1">
      <c r="B39" s="82" t="s">
        <v>200</v>
      </c>
      <c r="C39" s="193" t="s">
        <v>1270</v>
      </c>
      <c r="D39" s="83"/>
      <c r="E39" s="161">
        <f>SUM(E41:E47)</f>
        <v>0</v>
      </c>
      <c r="F39" s="150">
        <f>SUM(F41:F47)</f>
        <v>0</v>
      </c>
      <c r="G39" s="150">
        <f>SUM(G41:G47)</f>
        <v>0</v>
      </c>
      <c r="H39" s="150">
        <f>SUM(H41:H47)</f>
        <v>0</v>
      </c>
      <c r="I39" s="151">
        <f>SUM(I41:I47)</f>
        <v>0</v>
      </c>
      <c r="K39" s="82" t="s">
        <v>202</v>
      </c>
      <c r="L39" s="193" t="s">
        <v>1270</v>
      </c>
      <c r="M39" s="83"/>
      <c r="N39" s="161">
        <f>SUM(N41:N47)</f>
        <v>0</v>
      </c>
      <c r="O39" s="150">
        <f>SUM(O41:O47)</f>
        <v>0</v>
      </c>
      <c r="P39" s="150">
        <f>SUM(P41:P47)</f>
        <v>0</v>
      </c>
      <c r="Q39" s="150">
        <f>SUM(Q41:Q47)</f>
        <v>0</v>
      </c>
      <c r="R39" s="151">
        <f>SUM(R41:R47)</f>
        <v>0</v>
      </c>
    </row>
    <row r="40" spans="1:18" ht="13.5" thickBot="1">
      <c r="B40" s="16" t="s">
        <v>1269</v>
      </c>
      <c r="C40" s="34" t="str">
        <f>$C$29</f>
        <v>Grams</v>
      </c>
      <c r="D40" s="197" t="s">
        <v>647</v>
      </c>
      <c r="E40" s="34" t="s">
        <v>1474</v>
      </c>
      <c r="F40" s="35" t="s">
        <v>99</v>
      </c>
      <c r="G40" s="34" t="s">
        <v>1475</v>
      </c>
      <c r="H40" s="35" t="s">
        <v>1476</v>
      </c>
      <c r="I40" s="36" t="s">
        <v>1477</v>
      </c>
      <c r="K40" s="16" t="s">
        <v>1269</v>
      </c>
      <c r="L40" s="34" t="str">
        <f>$C$29</f>
        <v>Grams</v>
      </c>
      <c r="M40" s="197" t="s">
        <v>647</v>
      </c>
      <c r="N40" s="34" t="s">
        <v>1474</v>
      </c>
      <c r="O40" s="35" t="s">
        <v>99</v>
      </c>
      <c r="P40" s="34" t="s">
        <v>1475</v>
      </c>
      <c r="Q40" s="35" t="s">
        <v>1476</v>
      </c>
      <c r="R40" s="36" t="s">
        <v>1477</v>
      </c>
    </row>
    <row r="41" spans="1:18">
      <c r="B41" s="45"/>
      <c r="C41" s="194"/>
      <c r="D41" s="198">
        <f t="shared" ref="D41:D47" si="12">Measure</f>
        <v>0</v>
      </c>
      <c r="E41" s="162">
        <f t="shared" ref="E41:E47" si="13">Calories</f>
        <v>0</v>
      </c>
      <c r="F41" s="40">
        <f t="shared" ref="F41:F47" si="14">Protein</f>
        <v>0</v>
      </c>
      <c r="G41" s="39">
        <f t="shared" ref="G41:G47" si="15">Fat</f>
        <v>0</v>
      </c>
      <c r="H41" s="40">
        <f t="shared" ref="H41:H47" si="16">Carbs</f>
        <v>0</v>
      </c>
      <c r="I41" s="41">
        <f t="shared" ref="I41:I47" si="17">Fiber</f>
        <v>0</v>
      </c>
      <c r="K41" s="45"/>
      <c r="L41" s="194"/>
      <c r="M41" s="198">
        <f t="shared" ref="M41:M47" si="18">Measure</f>
        <v>0</v>
      </c>
      <c r="N41" s="162">
        <f t="shared" ref="N41:N47" si="19">Calories</f>
        <v>0</v>
      </c>
      <c r="O41" s="40">
        <f t="shared" ref="O41:O47" si="20">Protein</f>
        <v>0</v>
      </c>
      <c r="P41" s="39">
        <f t="shared" ref="P41:P47" si="21">Fat</f>
        <v>0</v>
      </c>
      <c r="Q41" s="40">
        <f t="shared" ref="Q41:Q47" si="22">Carbs</f>
        <v>0</v>
      </c>
      <c r="R41" s="41">
        <f t="shared" ref="R41:R47" si="23">Fiber</f>
        <v>0</v>
      </c>
    </row>
    <row r="42" spans="1:18">
      <c r="B42" s="46"/>
      <c r="C42" s="195"/>
      <c r="D42" s="198">
        <f t="shared" si="12"/>
        <v>0</v>
      </c>
      <c r="E42" s="162">
        <f t="shared" si="13"/>
        <v>0</v>
      </c>
      <c r="F42" s="40">
        <f t="shared" si="14"/>
        <v>0</v>
      </c>
      <c r="G42" s="39">
        <f t="shared" si="15"/>
        <v>0</v>
      </c>
      <c r="H42" s="40">
        <f t="shared" si="16"/>
        <v>0</v>
      </c>
      <c r="I42" s="41">
        <f t="shared" si="17"/>
        <v>0</v>
      </c>
      <c r="K42" s="46"/>
      <c r="L42" s="195"/>
      <c r="M42" s="198">
        <f t="shared" si="18"/>
        <v>0</v>
      </c>
      <c r="N42" s="162">
        <f t="shared" si="19"/>
        <v>0</v>
      </c>
      <c r="O42" s="40">
        <f t="shared" si="20"/>
        <v>0</v>
      </c>
      <c r="P42" s="39">
        <f t="shared" si="21"/>
        <v>0</v>
      </c>
      <c r="Q42" s="40">
        <f t="shared" si="22"/>
        <v>0</v>
      </c>
      <c r="R42" s="41">
        <f t="shared" si="23"/>
        <v>0</v>
      </c>
    </row>
    <row r="43" spans="1:18">
      <c r="B43" s="46"/>
      <c r="C43" s="195"/>
      <c r="D43" s="198">
        <f t="shared" si="12"/>
        <v>0</v>
      </c>
      <c r="E43" s="162">
        <f t="shared" si="13"/>
        <v>0</v>
      </c>
      <c r="F43" s="40">
        <f t="shared" si="14"/>
        <v>0</v>
      </c>
      <c r="G43" s="39">
        <f t="shared" si="15"/>
        <v>0</v>
      </c>
      <c r="H43" s="40">
        <f t="shared" si="16"/>
        <v>0</v>
      </c>
      <c r="I43" s="41">
        <f t="shared" si="17"/>
        <v>0</v>
      </c>
      <c r="K43" s="46"/>
      <c r="L43" s="195"/>
      <c r="M43" s="198">
        <f t="shared" si="18"/>
        <v>0</v>
      </c>
      <c r="N43" s="162">
        <f t="shared" si="19"/>
        <v>0</v>
      </c>
      <c r="O43" s="40">
        <f t="shared" si="20"/>
        <v>0</v>
      </c>
      <c r="P43" s="39">
        <f t="shared" si="21"/>
        <v>0</v>
      </c>
      <c r="Q43" s="40">
        <f t="shared" si="22"/>
        <v>0</v>
      </c>
      <c r="R43" s="41">
        <f t="shared" si="23"/>
        <v>0</v>
      </c>
    </row>
    <row r="44" spans="1:18">
      <c r="B44" s="46"/>
      <c r="C44" s="195"/>
      <c r="D44" s="198">
        <f t="shared" si="12"/>
        <v>0</v>
      </c>
      <c r="E44" s="162">
        <f t="shared" si="13"/>
        <v>0</v>
      </c>
      <c r="F44" s="40">
        <f t="shared" si="14"/>
        <v>0</v>
      </c>
      <c r="G44" s="39">
        <f t="shared" si="15"/>
        <v>0</v>
      </c>
      <c r="H44" s="40">
        <f t="shared" si="16"/>
        <v>0</v>
      </c>
      <c r="I44" s="41">
        <f t="shared" si="17"/>
        <v>0</v>
      </c>
      <c r="K44" s="46"/>
      <c r="L44" s="195"/>
      <c r="M44" s="198">
        <f t="shared" si="18"/>
        <v>0</v>
      </c>
      <c r="N44" s="162">
        <f t="shared" si="19"/>
        <v>0</v>
      </c>
      <c r="O44" s="40">
        <f t="shared" si="20"/>
        <v>0</v>
      </c>
      <c r="P44" s="39">
        <f t="shared" si="21"/>
        <v>0</v>
      </c>
      <c r="Q44" s="40">
        <f t="shared" si="22"/>
        <v>0</v>
      </c>
      <c r="R44" s="41">
        <f t="shared" si="23"/>
        <v>0</v>
      </c>
    </row>
    <row r="45" spans="1:18">
      <c r="B45" s="46"/>
      <c r="C45" s="195"/>
      <c r="D45" s="198">
        <f t="shared" si="12"/>
        <v>0</v>
      </c>
      <c r="E45" s="162">
        <f t="shared" si="13"/>
        <v>0</v>
      </c>
      <c r="F45" s="40">
        <f t="shared" si="14"/>
        <v>0</v>
      </c>
      <c r="G45" s="39">
        <f t="shared" si="15"/>
        <v>0</v>
      </c>
      <c r="H45" s="40">
        <f t="shared" si="16"/>
        <v>0</v>
      </c>
      <c r="I45" s="41">
        <f t="shared" si="17"/>
        <v>0</v>
      </c>
      <c r="K45" s="46"/>
      <c r="L45" s="195"/>
      <c r="M45" s="198">
        <f t="shared" si="18"/>
        <v>0</v>
      </c>
      <c r="N45" s="162">
        <f t="shared" si="19"/>
        <v>0</v>
      </c>
      <c r="O45" s="40">
        <f t="shared" si="20"/>
        <v>0</v>
      </c>
      <c r="P45" s="39">
        <f t="shared" si="21"/>
        <v>0</v>
      </c>
      <c r="Q45" s="40">
        <f t="shared" si="22"/>
        <v>0</v>
      </c>
      <c r="R45" s="41">
        <f t="shared" si="23"/>
        <v>0</v>
      </c>
    </row>
    <row r="46" spans="1:18">
      <c r="B46" s="46"/>
      <c r="C46" s="195"/>
      <c r="D46" s="198">
        <f t="shared" si="12"/>
        <v>0</v>
      </c>
      <c r="E46" s="162">
        <f t="shared" si="13"/>
        <v>0</v>
      </c>
      <c r="F46" s="40">
        <f t="shared" si="14"/>
        <v>0</v>
      </c>
      <c r="G46" s="39">
        <f t="shared" si="15"/>
        <v>0</v>
      </c>
      <c r="H46" s="40">
        <f t="shared" si="16"/>
        <v>0</v>
      </c>
      <c r="I46" s="41">
        <f t="shared" si="17"/>
        <v>0</v>
      </c>
      <c r="K46" s="46"/>
      <c r="L46" s="195"/>
      <c r="M46" s="198">
        <f t="shared" si="18"/>
        <v>0</v>
      </c>
      <c r="N46" s="162">
        <f t="shared" si="19"/>
        <v>0</v>
      </c>
      <c r="O46" s="40">
        <f t="shared" si="20"/>
        <v>0</v>
      </c>
      <c r="P46" s="39">
        <f t="shared" si="21"/>
        <v>0</v>
      </c>
      <c r="Q46" s="40">
        <f t="shared" si="22"/>
        <v>0</v>
      </c>
      <c r="R46" s="41">
        <f t="shared" si="23"/>
        <v>0</v>
      </c>
    </row>
    <row r="47" spans="1:18" ht="13.5" thickBot="1">
      <c r="B47" s="47"/>
      <c r="C47" s="196"/>
      <c r="D47" s="177">
        <f t="shared" si="12"/>
        <v>0</v>
      </c>
      <c r="E47" s="163">
        <f t="shared" si="13"/>
        <v>0</v>
      </c>
      <c r="F47" s="43">
        <f t="shared" si="14"/>
        <v>0</v>
      </c>
      <c r="G47" s="42">
        <f t="shared" si="15"/>
        <v>0</v>
      </c>
      <c r="H47" s="43">
        <f t="shared" si="16"/>
        <v>0</v>
      </c>
      <c r="I47" s="44">
        <f t="shared" si="17"/>
        <v>0</v>
      </c>
      <c r="K47" s="47"/>
      <c r="L47" s="196"/>
      <c r="M47" s="177">
        <f t="shared" si="18"/>
        <v>0</v>
      </c>
      <c r="N47" s="163">
        <f t="shared" si="19"/>
        <v>0</v>
      </c>
      <c r="O47" s="43">
        <f t="shared" si="20"/>
        <v>0</v>
      </c>
      <c r="P47" s="42">
        <f t="shared" si="21"/>
        <v>0</v>
      </c>
      <c r="Q47" s="43">
        <f t="shared" si="22"/>
        <v>0</v>
      </c>
      <c r="R47" s="44">
        <f t="shared" si="23"/>
        <v>0</v>
      </c>
    </row>
    <row r="48" spans="1:18" ht="13.5" thickBot="1">
      <c r="B48" s="77"/>
      <c r="K48" s="77"/>
    </row>
    <row r="49" spans="2:18" ht="14.25" thickTop="1" thickBot="1">
      <c r="B49" s="124">
        <f>$B$27</f>
        <v>0</v>
      </c>
      <c r="C49" s="79" t="s">
        <v>1271</v>
      </c>
      <c r="D49" s="166" t="s">
        <v>546</v>
      </c>
      <c r="E49" s="178">
        <f>SUM(F49*4,G49*9,H49*4)</f>
        <v>700.84834560000013</v>
      </c>
      <c r="F49" s="167">
        <f>INDEX(Macronutrients,3,3+IF(Off_day,3,))*$N$7</f>
        <v>48.941452980000001</v>
      </c>
      <c r="G49" s="167">
        <f>INDEX(Macronutrients,3,4+IF(Off_day,3,))*$N$9</f>
        <v>9.3221815200000027</v>
      </c>
      <c r="H49" s="167">
        <f>INDEX(Macronutrients,3,2+IF(Off_day,3,))*$N$5</f>
        <v>105.29572500000002</v>
      </c>
      <c r="I49" s="81"/>
      <c r="K49" s="124"/>
      <c r="L49" s="79" t="s">
        <v>1271</v>
      </c>
      <c r="M49" s="80"/>
      <c r="N49" s="80">
        <f>SUM(N52:N58)</f>
        <v>0</v>
      </c>
      <c r="O49" s="80">
        <f>SUM(O52:O58)</f>
        <v>0</v>
      </c>
      <c r="P49" s="80">
        <f>SUM(P52:P58)</f>
        <v>0</v>
      </c>
      <c r="Q49" s="80">
        <f>SUM(Q52:Q58)</f>
        <v>0</v>
      </c>
      <c r="R49" s="81">
        <f>SUM(R52:R58)</f>
        <v>0</v>
      </c>
    </row>
    <row r="50" spans="2:18" ht="13.5" thickBot="1">
      <c r="B50" s="82" t="s">
        <v>1483</v>
      </c>
      <c r="C50" s="193" t="s">
        <v>1270</v>
      </c>
      <c r="D50" s="83"/>
      <c r="E50" s="161">
        <f>SUM(E52:E58)</f>
        <v>0</v>
      </c>
      <c r="F50" s="150">
        <f>SUM(F52:F58)</f>
        <v>0</v>
      </c>
      <c r="G50" s="150">
        <f>SUM(G52:G58)</f>
        <v>0</v>
      </c>
      <c r="H50" s="150">
        <f>SUM(H52:H58)</f>
        <v>0</v>
      </c>
      <c r="I50" s="151">
        <f>SUM(I52:I58)</f>
        <v>0</v>
      </c>
      <c r="K50" s="82" t="s">
        <v>1413</v>
      </c>
      <c r="L50" s="193" t="s">
        <v>1270</v>
      </c>
      <c r="M50" s="83"/>
      <c r="N50" s="83"/>
      <c r="O50" s="210" t="s">
        <v>1283</v>
      </c>
      <c r="P50" s="210"/>
      <c r="Q50" s="210"/>
      <c r="R50" s="211"/>
    </row>
    <row r="51" spans="2:18" ht="13.5" thickBot="1">
      <c r="B51" s="16" t="s">
        <v>1269</v>
      </c>
      <c r="C51" s="34" t="str">
        <f>$C$29</f>
        <v>Grams</v>
      </c>
      <c r="D51" s="197" t="s">
        <v>647</v>
      </c>
      <c r="E51" s="34" t="s">
        <v>1474</v>
      </c>
      <c r="F51" s="35" t="s">
        <v>99</v>
      </c>
      <c r="G51" s="34" t="s">
        <v>1475</v>
      </c>
      <c r="H51" s="35" t="s">
        <v>1476</v>
      </c>
      <c r="I51" s="36" t="s">
        <v>1477</v>
      </c>
      <c r="K51" s="16" t="s">
        <v>1269</v>
      </c>
      <c r="L51" s="34" t="str">
        <f>$C$29</f>
        <v>Grams</v>
      </c>
      <c r="M51" s="197" t="s">
        <v>647</v>
      </c>
      <c r="N51" s="34" t="s">
        <v>1474</v>
      </c>
      <c r="O51" s="35" t="s">
        <v>99</v>
      </c>
      <c r="P51" s="34" t="s">
        <v>1475</v>
      </c>
      <c r="Q51" s="35" t="s">
        <v>1476</v>
      </c>
      <c r="R51" s="36" t="s">
        <v>1477</v>
      </c>
    </row>
    <row r="52" spans="2:18">
      <c r="B52" s="45"/>
      <c r="C52" s="194"/>
      <c r="D52" s="198">
        <f t="shared" ref="D52:D58" si="24">Measure</f>
        <v>0</v>
      </c>
      <c r="E52" s="162">
        <f t="shared" ref="E52:E58" si="25">Calories</f>
        <v>0</v>
      </c>
      <c r="F52" s="40">
        <f t="shared" ref="F52:F58" si="26">Protein</f>
        <v>0</v>
      </c>
      <c r="G52" s="39">
        <f t="shared" ref="G52:G58" si="27">Fat</f>
        <v>0</v>
      </c>
      <c r="H52" s="40">
        <f t="shared" ref="H52:H58" si="28">Carbs</f>
        <v>0</v>
      </c>
      <c r="I52" s="41">
        <f t="shared" ref="I52:I58" si="29">Fiber</f>
        <v>0</v>
      </c>
      <c r="K52" s="45"/>
      <c r="L52" s="194"/>
      <c r="M52" s="198"/>
      <c r="N52" s="164"/>
      <c r="O52" s="72"/>
      <c r="P52" s="71"/>
      <c r="Q52" s="72"/>
      <c r="R52" s="73"/>
    </row>
    <row r="53" spans="2:18">
      <c r="B53" s="46"/>
      <c r="C53" s="195"/>
      <c r="D53" s="198">
        <f t="shared" si="24"/>
        <v>0</v>
      </c>
      <c r="E53" s="162">
        <f t="shared" si="25"/>
        <v>0</v>
      </c>
      <c r="F53" s="40">
        <f t="shared" si="26"/>
        <v>0</v>
      </c>
      <c r="G53" s="39">
        <f t="shared" si="27"/>
        <v>0</v>
      </c>
      <c r="H53" s="40">
        <f t="shared" si="28"/>
        <v>0</v>
      </c>
      <c r="I53" s="41">
        <f t="shared" si="29"/>
        <v>0</v>
      </c>
      <c r="K53" s="46"/>
      <c r="L53" s="195"/>
      <c r="M53" s="198"/>
      <c r="N53" s="164"/>
      <c r="O53" s="72"/>
      <c r="P53" s="71"/>
      <c r="Q53" s="72"/>
      <c r="R53" s="73"/>
    </row>
    <row r="54" spans="2:18">
      <c r="B54" s="46"/>
      <c r="C54" s="195"/>
      <c r="D54" s="198">
        <f t="shared" si="24"/>
        <v>0</v>
      </c>
      <c r="E54" s="162">
        <f t="shared" si="25"/>
        <v>0</v>
      </c>
      <c r="F54" s="40">
        <f t="shared" si="26"/>
        <v>0</v>
      </c>
      <c r="G54" s="39">
        <f t="shared" si="27"/>
        <v>0</v>
      </c>
      <c r="H54" s="40">
        <f t="shared" si="28"/>
        <v>0</v>
      </c>
      <c r="I54" s="41">
        <f t="shared" si="29"/>
        <v>0</v>
      </c>
      <c r="K54" s="46"/>
      <c r="L54" s="195"/>
      <c r="M54" s="198"/>
      <c r="N54" s="164"/>
      <c r="O54" s="72"/>
      <c r="P54" s="71"/>
      <c r="Q54" s="72"/>
      <c r="R54" s="73"/>
    </row>
    <row r="55" spans="2:18">
      <c r="B55" s="46"/>
      <c r="C55" s="195"/>
      <c r="D55" s="198">
        <f t="shared" si="24"/>
        <v>0</v>
      </c>
      <c r="E55" s="162">
        <f t="shared" si="25"/>
        <v>0</v>
      </c>
      <c r="F55" s="40">
        <f t="shared" si="26"/>
        <v>0</v>
      </c>
      <c r="G55" s="39">
        <f t="shared" si="27"/>
        <v>0</v>
      </c>
      <c r="H55" s="40">
        <f t="shared" si="28"/>
        <v>0</v>
      </c>
      <c r="I55" s="41">
        <f t="shared" si="29"/>
        <v>0</v>
      </c>
      <c r="K55" s="46"/>
      <c r="L55" s="195"/>
      <c r="M55" s="198"/>
      <c r="N55" s="164"/>
      <c r="O55" s="72"/>
      <c r="P55" s="71"/>
      <c r="Q55" s="72"/>
      <c r="R55" s="73"/>
    </row>
    <row r="56" spans="2:18">
      <c r="B56" s="46"/>
      <c r="C56" s="195"/>
      <c r="D56" s="198">
        <f t="shared" si="24"/>
        <v>0</v>
      </c>
      <c r="E56" s="162">
        <f t="shared" si="25"/>
        <v>0</v>
      </c>
      <c r="F56" s="40">
        <f t="shared" si="26"/>
        <v>0</v>
      </c>
      <c r="G56" s="39">
        <f t="shared" si="27"/>
        <v>0</v>
      </c>
      <c r="H56" s="40">
        <f t="shared" si="28"/>
        <v>0</v>
      </c>
      <c r="I56" s="41">
        <f t="shared" si="29"/>
        <v>0</v>
      </c>
      <c r="K56" s="46"/>
      <c r="L56" s="195"/>
      <c r="M56" s="198"/>
      <c r="N56" s="164"/>
      <c r="O56" s="72"/>
      <c r="P56" s="71"/>
      <c r="Q56" s="72"/>
      <c r="R56" s="73"/>
    </row>
    <row r="57" spans="2:18">
      <c r="B57" s="46"/>
      <c r="C57" s="195"/>
      <c r="D57" s="198">
        <f t="shared" si="24"/>
        <v>0</v>
      </c>
      <c r="E57" s="162">
        <f t="shared" si="25"/>
        <v>0</v>
      </c>
      <c r="F57" s="40">
        <f t="shared" si="26"/>
        <v>0</v>
      </c>
      <c r="G57" s="39">
        <f t="shared" si="27"/>
        <v>0</v>
      </c>
      <c r="H57" s="40">
        <f t="shared" si="28"/>
        <v>0</v>
      </c>
      <c r="I57" s="41">
        <f t="shared" si="29"/>
        <v>0</v>
      </c>
      <c r="K57" s="46"/>
      <c r="L57" s="195"/>
      <c r="M57" s="198"/>
      <c r="N57" s="164"/>
      <c r="O57" s="72"/>
      <c r="P57" s="71"/>
      <c r="Q57" s="72"/>
      <c r="R57" s="73"/>
    </row>
    <row r="58" spans="2:18" ht="13.5" thickBot="1">
      <c r="B58" s="47"/>
      <c r="C58" s="196"/>
      <c r="D58" s="177">
        <f t="shared" si="24"/>
        <v>0</v>
      </c>
      <c r="E58" s="163">
        <f t="shared" si="25"/>
        <v>0</v>
      </c>
      <c r="F58" s="43">
        <f t="shared" si="26"/>
        <v>0</v>
      </c>
      <c r="G58" s="42">
        <f t="shared" si="27"/>
        <v>0</v>
      </c>
      <c r="H58" s="43">
        <f t="shared" si="28"/>
        <v>0</v>
      </c>
      <c r="I58" s="44">
        <f t="shared" si="29"/>
        <v>0</v>
      </c>
      <c r="K58" s="47"/>
      <c r="L58" s="196"/>
      <c r="M58" s="177"/>
      <c r="N58" s="165"/>
      <c r="O58" s="75"/>
      <c r="P58" s="74"/>
      <c r="Q58" s="75"/>
      <c r="R58" s="76"/>
    </row>
    <row r="59" spans="2:18" ht="13.5" thickBot="1">
      <c r="B59" s="77"/>
      <c r="K59" s="77"/>
    </row>
    <row r="60" spans="2:18" ht="14.25" thickTop="1" thickBot="1">
      <c r="B60" s="124">
        <f>$B$27</f>
        <v>0</v>
      </c>
      <c r="C60" s="79" t="s">
        <v>1271</v>
      </c>
      <c r="D60" s="166" t="s">
        <v>546</v>
      </c>
      <c r="E60" s="178">
        <f>SUM(F60*4,G60*9,H60*4)</f>
        <v>419.49816840000005</v>
      </c>
      <c r="F60" s="167">
        <f>INDEX(Macronutrients,4,3+IF(Off_day,3,))*$N$7</f>
        <v>48.941452980000001</v>
      </c>
      <c r="G60" s="167">
        <f>INDEX(Macronutrients,4,4+IF(Off_day,3,))*$N$9</f>
        <v>9.3221815200000027</v>
      </c>
      <c r="H60" s="167">
        <f>INDEX(Macronutrients,4,2+IF(Off_day,3,))*$N$5</f>
        <v>34.958180700000007</v>
      </c>
      <c r="I60" s="81"/>
    </row>
    <row r="61" spans="2:18" ht="13.5" thickBot="1">
      <c r="B61" s="82" t="s">
        <v>201</v>
      </c>
      <c r="C61" s="193" t="s">
        <v>1270</v>
      </c>
      <c r="D61" s="83"/>
      <c r="E61" s="161">
        <f>SUM(E63:E69)</f>
        <v>0</v>
      </c>
      <c r="F61" s="150">
        <f>SUM(F63:F69)</f>
        <v>0</v>
      </c>
      <c r="G61" s="150">
        <f>SUM(G63:G69)</f>
        <v>0</v>
      </c>
      <c r="H61" s="150">
        <f>SUM(H63:H69)</f>
        <v>0</v>
      </c>
      <c r="I61" s="151">
        <f>SUM(I63:I69)</f>
        <v>0</v>
      </c>
    </row>
    <row r="62" spans="2:18" ht="13.5" thickBot="1">
      <c r="B62" s="16" t="s">
        <v>1269</v>
      </c>
      <c r="C62" s="34" t="str">
        <f>$C$29</f>
        <v>Grams</v>
      </c>
      <c r="D62" s="197" t="s">
        <v>647</v>
      </c>
      <c r="E62" s="34" t="s">
        <v>1474</v>
      </c>
      <c r="F62" s="35" t="s">
        <v>99</v>
      </c>
      <c r="G62" s="34" t="s">
        <v>1475</v>
      </c>
      <c r="H62" s="35" t="s">
        <v>1476</v>
      </c>
      <c r="I62" s="36" t="s">
        <v>1477</v>
      </c>
    </row>
    <row r="63" spans="2:18">
      <c r="B63" s="45"/>
      <c r="C63" s="194"/>
      <c r="D63" s="198">
        <f t="shared" ref="D63:D69" si="30">Measure</f>
        <v>0</v>
      </c>
      <c r="E63" s="162">
        <f t="shared" ref="E63:E69" si="31">Calories</f>
        <v>0</v>
      </c>
      <c r="F63" s="40">
        <f t="shared" ref="F63:F69" si="32">Protein</f>
        <v>0</v>
      </c>
      <c r="G63" s="39">
        <f t="shared" ref="G63:G69" si="33">Fat</f>
        <v>0</v>
      </c>
      <c r="H63" s="40">
        <f t="shared" ref="H63:H69" si="34">Carbs</f>
        <v>0</v>
      </c>
      <c r="I63" s="41">
        <f t="shared" ref="I63:I69" si="35">Fiber</f>
        <v>0</v>
      </c>
    </row>
    <row r="64" spans="2:18">
      <c r="B64" s="46"/>
      <c r="C64" s="195"/>
      <c r="D64" s="198">
        <f t="shared" si="30"/>
        <v>0</v>
      </c>
      <c r="E64" s="162">
        <f t="shared" si="31"/>
        <v>0</v>
      </c>
      <c r="F64" s="40">
        <f t="shared" si="32"/>
        <v>0</v>
      </c>
      <c r="G64" s="39">
        <f t="shared" si="33"/>
        <v>0</v>
      </c>
      <c r="H64" s="40">
        <f t="shared" si="34"/>
        <v>0</v>
      </c>
      <c r="I64" s="41">
        <f t="shared" si="35"/>
        <v>0</v>
      </c>
    </row>
    <row r="65" spans="2:9">
      <c r="B65" s="46"/>
      <c r="C65" s="195"/>
      <c r="D65" s="198">
        <f t="shared" si="30"/>
        <v>0</v>
      </c>
      <c r="E65" s="162">
        <f t="shared" si="31"/>
        <v>0</v>
      </c>
      <c r="F65" s="40">
        <f t="shared" si="32"/>
        <v>0</v>
      </c>
      <c r="G65" s="39">
        <f t="shared" si="33"/>
        <v>0</v>
      </c>
      <c r="H65" s="40">
        <f t="shared" si="34"/>
        <v>0</v>
      </c>
      <c r="I65" s="41">
        <f t="shared" si="35"/>
        <v>0</v>
      </c>
    </row>
    <row r="66" spans="2:9">
      <c r="B66" s="46"/>
      <c r="C66" s="195"/>
      <c r="D66" s="198">
        <f t="shared" si="30"/>
        <v>0</v>
      </c>
      <c r="E66" s="162">
        <f t="shared" si="31"/>
        <v>0</v>
      </c>
      <c r="F66" s="40">
        <f t="shared" si="32"/>
        <v>0</v>
      </c>
      <c r="G66" s="39">
        <f t="shared" si="33"/>
        <v>0</v>
      </c>
      <c r="H66" s="40">
        <f t="shared" si="34"/>
        <v>0</v>
      </c>
      <c r="I66" s="41">
        <f t="shared" si="35"/>
        <v>0</v>
      </c>
    </row>
    <row r="67" spans="2:9">
      <c r="B67" s="46"/>
      <c r="C67" s="195"/>
      <c r="D67" s="198">
        <f t="shared" si="30"/>
        <v>0</v>
      </c>
      <c r="E67" s="162">
        <f t="shared" si="31"/>
        <v>0</v>
      </c>
      <c r="F67" s="40">
        <f t="shared" si="32"/>
        <v>0</v>
      </c>
      <c r="G67" s="39">
        <f t="shared" si="33"/>
        <v>0</v>
      </c>
      <c r="H67" s="40">
        <f t="shared" si="34"/>
        <v>0</v>
      </c>
      <c r="I67" s="41">
        <f t="shared" si="35"/>
        <v>0</v>
      </c>
    </row>
    <row r="68" spans="2:9">
      <c r="B68" s="46"/>
      <c r="C68" s="195"/>
      <c r="D68" s="198">
        <f t="shared" si="30"/>
        <v>0</v>
      </c>
      <c r="E68" s="162">
        <f t="shared" si="31"/>
        <v>0</v>
      </c>
      <c r="F68" s="40">
        <f t="shared" si="32"/>
        <v>0</v>
      </c>
      <c r="G68" s="39">
        <f t="shared" si="33"/>
        <v>0</v>
      </c>
      <c r="H68" s="40">
        <f t="shared" si="34"/>
        <v>0</v>
      </c>
      <c r="I68" s="41">
        <f t="shared" si="35"/>
        <v>0</v>
      </c>
    </row>
    <row r="69" spans="2:9" ht="13.5" thickBot="1">
      <c r="B69" s="47"/>
      <c r="C69" s="196"/>
      <c r="D69" s="177">
        <f t="shared" si="30"/>
        <v>0</v>
      </c>
      <c r="E69" s="163">
        <f t="shared" si="31"/>
        <v>0</v>
      </c>
      <c r="F69" s="43">
        <f t="shared" si="32"/>
        <v>0</v>
      </c>
      <c r="G69" s="42">
        <f t="shared" si="33"/>
        <v>0</v>
      </c>
      <c r="H69" s="43">
        <f t="shared" si="34"/>
        <v>0</v>
      </c>
      <c r="I69" s="44">
        <f t="shared" si="35"/>
        <v>0</v>
      </c>
    </row>
    <row r="70" spans="2:9">
      <c r="B70" s="77"/>
    </row>
  </sheetData>
  <sheetProtection sheet="1" objects="1" scenarios="1" selectLockedCells="1"/>
  <mergeCells count="8">
    <mergeCell ref="A1:W1"/>
    <mergeCell ref="O50:R50"/>
    <mergeCell ref="C13:F13"/>
    <mergeCell ref="C19:D19"/>
    <mergeCell ref="C3:D3"/>
    <mergeCell ref="C25:E25"/>
    <mergeCell ref="G17:H17"/>
    <mergeCell ref="C15:D15"/>
  </mergeCells>
  <phoneticPr fontId="2" type="noConversion"/>
  <conditionalFormatting sqref="M21">
    <cfRule type="expression" dxfId="10" priority="1" stopIfTrue="1">
      <formula>ABS($M21-$N21)&gt;10%</formula>
    </cfRule>
    <cfRule type="expression" dxfId="9" priority="2" stopIfTrue="1">
      <formula>ABS($M21-$N21)&gt;5%</formula>
    </cfRule>
  </conditionalFormatting>
  <conditionalFormatting sqref="L21 L13:M13 L15:M15 L17:M17 L19:M19">
    <cfRule type="expression" dxfId="8" priority="5" stopIfTrue="1">
      <formula>ABS(($M13-$N13)/$N13)&gt;10%</formula>
    </cfRule>
    <cfRule type="expression" dxfId="7" priority="6" stopIfTrue="1">
      <formula>ABS(($M13-$N13)/$N13)&gt;5%</formula>
    </cfRule>
  </conditionalFormatting>
  <conditionalFormatting sqref="R13">
    <cfRule type="expression" dxfId="6" priority="11" stopIfTrue="1">
      <formula>VALUE(RIGHT($B$27,1))=1</formula>
    </cfRule>
  </conditionalFormatting>
  <conditionalFormatting sqref="R15">
    <cfRule type="expression" dxfId="5" priority="12" stopIfTrue="1">
      <formula>VALUE(RIGHT($B$27,1))=2</formula>
    </cfRule>
  </conditionalFormatting>
  <conditionalFormatting sqref="R17">
    <cfRule type="expression" dxfId="4" priority="13" stopIfTrue="1">
      <formula>VALUE(RIGHT($B$27,1))=3</formula>
    </cfRule>
  </conditionalFormatting>
  <conditionalFormatting sqref="R19">
    <cfRule type="expression" dxfId="3" priority="14" stopIfTrue="1">
      <formula>VALUE(RIGHT($B$27,1))=4</formula>
    </cfRule>
  </conditionalFormatting>
  <conditionalFormatting sqref="R21">
    <cfRule type="expression" dxfId="2" priority="15" stopIfTrue="1">
      <formula>VALUE(RIGHT($B$27,1))=5</formula>
    </cfRule>
  </conditionalFormatting>
  <dataValidations count="10">
    <dataValidation type="list" allowBlank="1" showInputMessage="1" showErrorMessage="1" sqref="G17" xr:uid="{00000000-0002-0000-0000-000000000000}">
      <formula1>OFFSET(Body_type,,,,1)</formula1>
    </dataValidation>
    <dataValidation type="list" allowBlank="1" showInputMessage="1" showErrorMessage="1" sqref="H21" xr:uid="{00000000-0002-0000-0000-000001000000}">
      <formula1>"grams,ounces"</formula1>
    </dataValidation>
    <dataValidation type="list" allowBlank="1" showInputMessage="1" showErrorMessage="1" sqref="D7" xr:uid="{00000000-0002-0000-0000-000002000000}">
      <formula1>"inches, cms"</formula1>
    </dataValidation>
    <dataValidation type="list" allowBlank="1" showInputMessage="1" showErrorMessage="1" sqref="D9" xr:uid="{00000000-0002-0000-0000-000003000000}">
      <formula1>"pounds, kgs"</formula1>
    </dataValidation>
    <dataValidation type="list" allowBlank="1" showInputMessage="1" showErrorMessage="1" sqref="B63:B69 B30:B36 B41:B47 K41:K47 B52:B58 K30:K36" xr:uid="{00000000-0002-0000-0000-000004000000}">
      <formula1>OFFSET(INDIRECT(Foodgroup_db),,,,1)</formula1>
    </dataValidation>
    <dataValidation type="list" allowBlank="1" showInputMessage="1" showErrorMessage="1" sqref="C19" xr:uid="{00000000-0002-0000-0000-000005000000}">
      <formula1>"fat loss,muscle gain"</formula1>
    </dataValidation>
    <dataValidation type="list" allowBlank="1" showInputMessage="1" showErrorMessage="1" sqref="C25" xr:uid="{00000000-0002-0000-0000-000006000000}">
      <formula1>OFFSET(Foodgroups,,,,1)</formula1>
    </dataValidation>
    <dataValidation type="list" allowBlank="1" showInputMessage="1" showErrorMessage="1" sqref="C13" xr:uid="{00000000-0002-0000-0000-000007000000}">
      <formula1>OFFSET(HB_factors,,,,1)</formula1>
    </dataValidation>
    <dataValidation type="list" allowBlank="1" showInputMessage="1" showErrorMessage="1" sqref="C5" xr:uid="{00000000-0002-0000-0000-000008000000}">
      <formula1>"Male,Female"</formula1>
    </dataValidation>
    <dataValidation type="list" allowBlank="1" showInputMessage="1" showErrorMessage="1" sqref="C15:D15" xr:uid="{00000000-0002-0000-0000-000009000000}">
      <formula1>Schedule</formula1>
    </dataValidation>
  </dataValidations>
  <pageMargins left="0.7" right="0.7" top="0.75" bottom="0.75" header="0.3" footer="0.3"/>
  <pageSetup orientation="landscape" r:id="rId1"/>
  <cellWatches>
    <cellWatch r="C35"/>
  </cellWatches>
  <drawing r:id="rId2"/>
  <legacyDrawing r:id="rId3"/>
  <controls>
    <mc:AlternateContent xmlns:mc="http://schemas.openxmlformats.org/markup-compatibility/2006">
      <mc:Choice Requires="x14">
        <control shapeId="1682" r:id="rId4" name="cmdSave2">
          <controlPr defaultSize="0" autoLine="0" r:id="rId5">
            <anchor moveWithCells="1">
              <from>
                <xdr:col>14</xdr:col>
                <xdr:colOff>542925</xdr:colOff>
                <xdr:row>4</xdr:row>
                <xdr:rowOff>152400</xdr:rowOff>
              </from>
              <to>
                <xdr:col>17</xdr:col>
                <xdr:colOff>247650</xdr:colOff>
                <xdr:row>6</xdr:row>
                <xdr:rowOff>152400</xdr:rowOff>
              </to>
            </anchor>
          </controlPr>
        </control>
      </mc:Choice>
      <mc:Fallback>
        <control shapeId="1682" r:id="rId4" name="cmdSave2"/>
      </mc:Fallback>
    </mc:AlternateContent>
    <mc:AlternateContent xmlns:mc="http://schemas.openxmlformats.org/markup-compatibility/2006">
      <mc:Choice Requires="x14">
        <control shapeId="1681" r:id="rId6" name="cmdSave1">
          <controlPr defaultSize="0" autoLine="0" r:id="rId7">
            <anchor moveWithCells="1">
              <from>
                <xdr:col>14</xdr:col>
                <xdr:colOff>542925</xdr:colOff>
                <xdr:row>2</xdr:row>
                <xdr:rowOff>152400</xdr:rowOff>
              </from>
              <to>
                <xdr:col>17</xdr:col>
                <xdr:colOff>247650</xdr:colOff>
                <xdr:row>4</xdr:row>
                <xdr:rowOff>152400</xdr:rowOff>
              </to>
            </anchor>
          </controlPr>
        </control>
      </mc:Choice>
      <mc:Fallback>
        <control shapeId="1681" r:id="rId6" name="cmdSave1"/>
      </mc:Fallback>
    </mc:AlternateContent>
    <mc:AlternateContent xmlns:mc="http://schemas.openxmlformats.org/markup-compatibility/2006">
      <mc:Choice Requires="x14">
        <control shapeId="1497" r:id="rId8" name="cmdExport">
          <controlPr defaultSize="0" autoLine="0" r:id="rId9">
            <anchor moveWithCells="1">
              <from>
                <xdr:col>6</xdr:col>
                <xdr:colOff>171450</xdr:colOff>
                <xdr:row>6</xdr:row>
                <xdr:rowOff>95250</xdr:rowOff>
              </from>
              <to>
                <xdr:col>8</xdr:col>
                <xdr:colOff>190500</xdr:colOff>
                <xdr:row>8</xdr:row>
                <xdr:rowOff>95250</xdr:rowOff>
              </to>
            </anchor>
          </controlPr>
        </control>
      </mc:Choice>
      <mc:Fallback>
        <control shapeId="1497" r:id="rId8" name="cmdExport"/>
      </mc:Fallback>
    </mc:AlternateContent>
    <mc:AlternateContent xmlns:mc="http://schemas.openxmlformats.org/markup-compatibility/2006">
      <mc:Choice Requires="x14">
        <control shapeId="1314" r:id="rId10" name="cmdPlan5">
          <controlPr defaultSize="0" autoLine="0" r:id="rId11">
            <anchor moveWithCells="1">
              <from>
                <xdr:col>14</xdr:col>
                <xdr:colOff>542925</xdr:colOff>
                <xdr:row>19</xdr:row>
                <xdr:rowOff>47625</xdr:rowOff>
              </from>
              <to>
                <xdr:col>16</xdr:col>
                <xdr:colOff>504825</xdr:colOff>
                <xdr:row>21</xdr:row>
                <xdr:rowOff>28575</xdr:rowOff>
              </to>
            </anchor>
          </controlPr>
        </control>
      </mc:Choice>
      <mc:Fallback>
        <control shapeId="1314" r:id="rId10" name="cmdPlan5"/>
      </mc:Fallback>
    </mc:AlternateContent>
    <mc:AlternateContent xmlns:mc="http://schemas.openxmlformats.org/markup-compatibility/2006">
      <mc:Choice Requires="x14">
        <control shapeId="1313" r:id="rId12" name="cmdPlan4">
          <controlPr defaultSize="0" autoLine="0" r:id="rId13">
            <anchor moveWithCells="1">
              <from>
                <xdr:col>14</xdr:col>
                <xdr:colOff>542925</xdr:colOff>
                <xdr:row>17</xdr:row>
                <xdr:rowOff>38100</xdr:rowOff>
              </from>
              <to>
                <xdr:col>16</xdr:col>
                <xdr:colOff>504825</xdr:colOff>
                <xdr:row>19</xdr:row>
                <xdr:rowOff>19050</xdr:rowOff>
              </to>
            </anchor>
          </controlPr>
        </control>
      </mc:Choice>
      <mc:Fallback>
        <control shapeId="1313" r:id="rId12" name="cmdPlan4"/>
      </mc:Fallback>
    </mc:AlternateContent>
    <mc:AlternateContent xmlns:mc="http://schemas.openxmlformats.org/markup-compatibility/2006">
      <mc:Choice Requires="x14">
        <control shapeId="1312" r:id="rId14" name="cmdPlan3">
          <controlPr defaultSize="0" autoLine="0" r:id="rId15">
            <anchor moveWithCells="1">
              <from>
                <xdr:col>14</xdr:col>
                <xdr:colOff>542925</xdr:colOff>
                <xdr:row>15</xdr:row>
                <xdr:rowOff>57150</xdr:rowOff>
              </from>
              <to>
                <xdr:col>16</xdr:col>
                <xdr:colOff>504825</xdr:colOff>
                <xdr:row>17</xdr:row>
                <xdr:rowOff>38100</xdr:rowOff>
              </to>
            </anchor>
          </controlPr>
        </control>
      </mc:Choice>
      <mc:Fallback>
        <control shapeId="1312" r:id="rId14" name="cmdPlan3"/>
      </mc:Fallback>
    </mc:AlternateContent>
    <mc:AlternateContent xmlns:mc="http://schemas.openxmlformats.org/markup-compatibility/2006">
      <mc:Choice Requires="x14">
        <control shapeId="1311" r:id="rId16" name="cmdPlan2">
          <controlPr defaultSize="0" autoLine="0" r:id="rId17">
            <anchor moveWithCells="1">
              <from>
                <xdr:col>14</xdr:col>
                <xdr:colOff>542925</xdr:colOff>
                <xdr:row>13</xdr:row>
                <xdr:rowOff>57150</xdr:rowOff>
              </from>
              <to>
                <xdr:col>16</xdr:col>
                <xdr:colOff>504825</xdr:colOff>
                <xdr:row>15</xdr:row>
                <xdr:rowOff>38100</xdr:rowOff>
              </to>
            </anchor>
          </controlPr>
        </control>
      </mc:Choice>
      <mc:Fallback>
        <control shapeId="1311" r:id="rId16" name="cmdPlan2"/>
      </mc:Fallback>
    </mc:AlternateContent>
    <mc:AlternateContent xmlns:mc="http://schemas.openxmlformats.org/markup-compatibility/2006">
      <mc:Choice Requires="x14">
        <control shapeId="1310" r:id="rId18" name="cmdPlan1">
          <controlPr defaultSize="0" autoLine="0" r:id="rId19">
            <anchor moveWithCells="1">
              <from>
                <xdr:col>14</xdr:col>
                <xdr:colOff>542925</xdr:colOff>
                <xdr:row>11</xdr:row>
                <xdr:rowOff>57150</xdr:rowOff>
              </from>
              <to>
                <xdr:col>16</xdr:col>
                <xdr:colOff>504825</xdr:colOff>
                <xdr:row>13</xdr:row>
                <xdr:rowOff>38100</xdr:rowOff>
              </to>
            </anchor>
          </controlPr>
        </control>
      </mc:Choice>
      <mc:Fallback>
        <control shapeId="1310" r:id="rId18" name="cmdPlan1"/>
      </mc:Fallback>
    </mc:AlternateContent>
    <mc:AlternateContent xmlns:mc="http://schemas.openxmlformats.org/markup-compatibility/2006">
      <mc:Choice Requires="x14">
        <control shapeId="1232" r:id="rId20" name="SpinButton1">
          <controlPr defaultSize="0" autoLine="0" linkedCell="WaterIntake" r:id="rId21">
            <anchor moveWithCells="1">
              <from>
                <xdr:col>14</xdr:col>
                <xdr:colOff>28575</xdr:colOff>
                <xdr:row>21</xdr:row>
                <xdr:rowOff>57150</xdr:rowOff>
              </from>
              <to>
                <xdr:col>14</xdr:col>
                <xdr:colOff>180975</xdr:colOff>
                <xdr:row>23</xdr:row>
                <xdr:rowOff>19050</xdr:rowOff>
              </to>
            </anchor>
          </controlPr>
        </control>
      </mc:Choice>
      <mc:Fallback>
        <control shapeId="1232" r:id="rId20" name="SpinButton1"/>
      </mc:Fallback>
    </mc:AlternateContent>
    <mc:AlternateContent xmlns:mc="http://schemas.openxmlformats.org/markup-compatibility/2006">
      <mc:Choice Requires="x14">
        <control shapeId="1106" r:id="rId22" name="cmdGraph">
          <controlPr defaultSize="0" autoLine="0" r:id="rId23">
            <anchor moveWithCells="1">
              <from>
                <xdr:col>6</xdr:col>
                <xdr:colOff>171450</xdr:colOff>
                <xdr:row>1</xdr:row>
                <xdr:rowOff>66675</xdr:rowOff>
              </from>
              <to>
                <xdr:col>8</xdr:col>
                <xdr:colOff>190500</xdr:colOff>
                <xdr:row>3</xdr:row>
                <xdr:rowOff>66675</xdr:rowOff>
              </to>
            </anchor>
          </controlPr>
        </control>
      </mc:Choice>
      <mc:Fallback>
        <control shapeId="1106" r:id="rId22" name="cmdGraph"/>
      </mc:Fallback>
    </mc:AlternateContent>
    <mc:AlternateContent xmlns:mc="http://schemas.openxmlformats.org/markup-compatibility/2006">
      <mc:Choice Requires="x14">
        <control shapeId="1103" r:id="rId24" name="cmdStats">
          <controlPr defaultSize="0" autoLine="0" r:id="rId25">
            <anchor moveWithCells="1">
              <from>
                <xdr:col>6</xdr:col>
                <xdr:colOff>171450</xdr:colOff>
                <xdr:row>4</xdr:row>
                <xdr:rowOff>47625</xdr:rowOff>
              </from>
              <to>
                <xdr:col>8</xdr:col>
                <xdr:colOff>190500</xdr:colOff>
                <xdr:row>6</xdr:row>
                <xdr:rowOff>47625</xdr:rowOff>
              </to>
            </anchor>
          </controlPr>
        </control>
      </mc:Choice>
      <mc:Fallback>
        <control shapeId="1103" r:id="rId24" name="cmdStats"/>
      </mc:Fallback>
    </mc:AlternateContent>
    <mc:AlternateContent xmlns:mc="http://schemas.openxmlformats.org/markup-compatibility/2006">
      <mc:Choice Requires="x14">
        <control shapeId="1072" r:id="rId26" name="cmdClear">
          <controlPr defaultSize="0" autoLine="0" r:id="rId27">
            <anchor moveWithCells="1">
              <from>
                <xdr:col>14</xdr:col>
                <xdr:colOff>542925</xdr:colOff>
                <xdr:row>7</xdr:row>
                <xdr:rowOff>28575</xdr:rowOff>
              </from>
              <to>
                <xdr:col>16</xdr:col>
                <xdr:colOff>504825</xdr:colOff>
                <xdr:row>9</xdr:row>
                <xdr:rowOff>28575</xdr:rowOff>
              </to>
            </anchor>
          </controlPr>
        </control>
      </mc:Choice>
      <mc:Fallback>
        <control shapeId="1072" r:id="rId26" name="cmdClear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AD77"/>
  <sheetViews>
    <sheetView showZeros="0" workbookViewId="0">
      <selection activeCell="C15" sqref="C15:D15"/>
    </sheetView>
  </sheetViews>
  <sheetFormatPr defaultRowHeight="12.75"/>
  <cols>
    <col min="1" max="1" width="3.28515625" customWidth="1"/>
    <col min="2" max="2" width="26.42578125" bestFit="1" customWidth="1"/>
    <col min="5" max="5" width="8.28515625" customWidth="1"/>
    <col min="10" max="10" width="7.42578125" customWidth="1"/>
    <col min="11" max="11" width="26.42578125" bestFit="1" customWidth="1"/>
    <col min="15" max="15" width="26.42578125" bestFit="1" customWidth="1"/>
    <col min="19" max="19" width="26.42578125" bestFit="1" customWidth="1"/>
    <col min="23" max="23" width="26.42578125" bestFit="1" customWidth="1"/>
    <col min="27" max="27" width="26.42578125" bestFit="1" customWidth="1"/>
  </cols>
  <sheetData>
    <row r="1" spans="1:30" ht="14.25" thickTop="1" thickBot="1">
      <c r="A1" s="116"/>
      <c r="B1" s="114" t="str">
        <f>Body.type&amp;" - Plan 1"</f>
        <v>Ectomorph - Plan 1</v>
      </c>
      <c r="C1" s="79"/>
      <c r="D1" s="79" t="s">
        <v>1271</v>
      </c>
      <c r="E1" s="79"/>
      <c r="F1" s="79"/>
      <c r="G1" s="79"/>
      <c r="H1" s="79"/>
      <c r="I1" s="81">
        <f ca="1">SUM(I4:I10)</f>
        <v>733.56000000000006</v>
      </c>
      <c r="J1" s="200">
        <f ca="1">IF(Meal.post&gt;0,ROUND(SUMIF(D1:D76,"Totals",I1:I76)-OFFSET(INDIRECT("Meal"&amp;Meal.post&amp;".1"),-3,7,1,1),),ROUND(SUMIF(D1:D65,"Totals",I1:I65),))</f>
        <v>3503</v>
      </c>
      <c r="K1" s="114" t="s">
        <v>468</v>
      </c>
      <c r="L1" s="79" t="s">
        <v>1271</v>
      </c>
      <c r="M1" s="81">
        <f>SUM(M4:M10)</f>
        <v>814.38</v>
      </c>
      <c r="N1" s="200">
        <f ca="1">IF(Meal.post&gt;0,ROUND(SUMIF(L1:L76,"Totals",M1:M76)-OFFSET(INDIRECT("Meal"&amp;Meal.post&amp;".1"),-3,COLUMN(K:K),1,1),),ROUND(SUMIF(L1:L65,"Totals",M1:M65),))</f>
        <v>3722</v>
      </c>
      <c r="O1" s="114" t="s">
        <v>471</v>
      </c>
      <c r="P1" s="79" t="s">
        <v>1271</v>
      </c>
      <c r="Q1" s="81">
        <f>SUM(Q4:Q10)</f>
        <v>705.18000000000006</v>
      </c>
      <c r="R1" s="200">
        <f ca="1">IF(Meal.post&gt;0,ROUND(SUMIF(P1:P76,"Totals",Q1:Q76)-OFFSET(INDIRECT("Meal"&amp;Meal.post&amp;".1"),-3,COLUMN(O:O),1,1),),ROUND(SUMIF(P1:P65,"Totals",Q1:Q65),))</f>
        <v>3662</v>
      </c>
      <c r="S1" s="114" t="s">
        <v>472</v>
      </c>
      <c r="T1" s="79" t="s">
        <v>1271</v>
      </c>
      <c r="U1" s="81">
        <f>SUM(U4:U10)</f>
        <v>774.38</v>
      </c>
      <c r="V1" s="200">
        <f ca="1">IF(Meal.post&gt;0,ROUND(SUMIF(T1:T76,"Totals",U1:U76)-OFFSET(INDIRECT("Meal"&amp;Meal.post&amp;".1"),-3,COLUMN(S:S),1,1),),ROUND(SUMIF(T1:T65,"Totals",U1:U65),))</f>
        <v>3202</v>
      </c>
      <c r="W1" s="114" t="s">
        <v>494</v>
      </c>
      <c r="X1" s="79" t="s">
        <v>1271</v>
      </c>
      <c r="Y1" s="81">
        <f>SUM(Y4:Y10)</f>
        <v>814.38</v>
      </c>
      <c r="Z1" s="200">
        <f ca="1">IF(Meal.post&gt;0,ROUND(SUMIF(X1:X76,"Totals",Y1:Y76)-OFFSET(INDIRECT("Meal"&amp;Meal.post&amp;".1"),-3,COLUMN(W:W),1,1),),ROUND(SUMIF(X1:X65,"Totals",Y1:Y65),))</f>
        <v>3297</v>
      </c>
      <c r="AA1" s="114" t="s">
        <v>121</v>
      </c>
      <c r="AB1" s="79" t="s">
        <v>1271</v>
      </c>
      <c r="AC1" s="81">
        <f>SUM(AC4:AC10)</f>
        <v>747.78</v>
      </c>
      <c r="AD1" s="200">
        <f ca="1">IF(Meal.post&gt;0,ROUND(SUMIF(AB1:AB76,"Totals",AC1:AC76)-OFFSET(INDIRECT("Meal"&amp;Meal.post&amp;".1"),-3,COLUMN(AA:AA),1,1),),ROUND(SUMIF(AB1:AB65,"Totals",AC1:AC65),))</f>
        <v>3580</v>
      </c>
    </row>
    <row r="2" spans="1:30" ht="13.5" thickBot="1">
      <c r="A2" s="38"/>
      <c r="B2" s="82" t="s">
        <v>1482</v>
      </c>
      <c r="C2" s="83"/>
      <c r="D2" s="83" t="s">
        <v>1270</v>
      </c>
      <c r="E2" s="83"/>
      <c r="F2" s="83"/>
      <c r="G2" s="83"/>
      <c r="H2" s="83"/>
      <c r="I2" s="83"/>
      <c r="J2" s="133">
        <f ca="1">OFFSET(INDIRECT(VLOOKUP(Body.type,Body_type,5,FALSE)),-3,3,1,1)</f>
        <v>3722</v>
      </c>
      <c r="K2" s="82" t="s">
        <v>1482</v>
      </c>
      <c r="L2" s="83" t="s">
        <v>1270</v>
      </c>
      <c r="M2" s="83"/>
      <c r="N2" s="38"/>
      <c r="O2" s="82" t="s">
        <v>1482</v>
      </c>
      <c r="P2" s="83" t="s">
        <v>1270</v>
      </c>
      <c r="Q2" s="83"/>
      <c r="R2" s="38"/>
      <c r="S2" s="82" t="s">
        <v>1482</v>
      </c>
      <c r="T2" s="83" t="s">
        <v>1270</v>
      </c>
      <c r="U2" s="83"/>
      <c r="V2" s="38"/>
      <c r="W2" s="82" t="s">
        <v>1482</v>
      </c>
      <c r="X2" s="83" t="s">
        <v>1270</v>
      </c>
      <c r="Y2" s="83"/>
      <c r="Z2" s="38"/>
      <c r="AA2" s="82" t="s">
        <v>1482</v>
      </c>
      <c r="AB2" s="83" t="s">
        <v>1270</v>
      </c>
      <c r="AC2" s="83"/>
      <c r="AD2" s="38"/>
    </row>
    <row r="3" spans="1:30" ht="13.5" thickBot="1">
      <c r="A3" s="38"/>
      <c r="B3" s="16" t="s">
        <v>1269</v>
      </c>
      <c r="C3" s="37" t="str">
        <f>PROPER(units)</f>
        <v>Grams</v>
      </c>
      <c r="D3" s="37" t="str">
        <f>PROPER(units)</f>
        <v>Grams</v>
      </c>
      <c r="E3" s="37" t="s">
        <v>1275</v>
      </c>
      <c r="F3" s="37" t="s">
        <v>473</v>
      </c>
      <c r="G3" s="37" t="s">
        <v>474</v>
      </c>
      <c r="H3" s="37" t="s">
        <v>475</v>
      </c>
      <c r="I3" s="36" t="s">
        <v>1474</v>
      </c>
      <c r="J3" s="132">
        <f>Target</f>
        <v>3369.4632000000006</v>
      </c>
      <c r="K3" s="16" t="s">
        <v>1269</v>
      </c>
      <c r="L3" s="37" t="str">
        <f>PROPER(units)</f>
        <v>Grams</v>
      </c>
      <c r="M3" s="36" t="s">
        <v>1474</v>
      </c>
      <c r="N3" s="38"/>
      <c r="O3" s="16" t="s">
        <v>1269</v>
      </c>
      <c r="P3" s="37" t="str">
        <f>PROPER(units)</f>
        <v>Grams</v>
      </c>
      <c r="Q3" s="36" t="s">
        <v>1474</v>
      </c>
      <c r="R3" s="38"/>
      <c r="S3" s="16" t="s">
        <v>1269</v>
      </c>
      <c r="T3" s="37" t="str">
        <f>PROPER(units)</f>
        <v>Grams</v>
      </c>
      <c r="U3" s="36" t="s">
        <v>1474</v>
      </c>
      <c r="V3" s="38"/>
      <c r="W3" s="16" t="s">
        <v>1269</v>
      </c>
      <c r="X3" s="37" t="str">
        <f>PROPER(units)</f>
        <v>Grams</v>
      </c>
      <c r="Y3" s="36" t="s">
        <v>1474</v>
      </c>
      <c r="Z3" s="38"/>
      <c r="AA3" s="16" t="s">
        <v>1269</v>
      </c>
      <c r="AB3" s="37" t="str">
        <f>PROPER(units)</f>
        <v>Grams</v>
      </c>
      <c r="AC3" s="36" t="s">
        <v>1474</v>
      </c>
      <c r="AD3" s="38"/>
    </row>
    <row r="4" spans="1:30">
      <c r="A4" s="117">
        <v>1</v>
      </c>
      <c r="B4" s="45" t="str">
        <f t="shared" ref="B4:B10" ca="1" si="0">INDEX(INDIRECT(Body.db),A4,1)</f>
        <v>* BREAD,MULTI/WHL GRAIN</v>
      </c>
      <c r="C4" s="104">
        <f t="shared" ref="C4:C10" ca="1" si="1">IF(B4&gt;0,IF(G4-E4&gt;E4-H4,H4,G4),)</f>
        <v>65</v>
      </c>
      <c r="D4" s="48">
        <f t="shared" ref="D4:D10" ca="1" si="2">INDEX(INDIRECT(VLOOKUP(Body.type,Body_type,5,FALSE)),A4,2)</f>
        <v>78</v>
      </c>
      <c r="E4" s="104">
        <f t="shared" ref="E4:E10" ca="1" si="3">IF(B4&gt;0,D4*$J$4,)</f>
        <v>70.612071359484162</v>
      </c>
      <c r="F4" s="104">
        <f t="shared" ref="F4:F10" ca="1" si="4">IF(B4&gt;0,VLOOKUP(B4,Food_Database,9,FALSE),)</f>
        <v>13</v>
      </c>
      <c r="G4" s="104">
        <f t="shared" ref="G4:G10" ca="1" si="5">IF(B4&gt;0,CEILING(E4,F4),)</f>
        <v>78</v>
      </c>
      <c r="H4" s="104">
        <f t="shared" ref="H4:H10" ca="1" si="6">IF(B4&gt;0,FLOOR(E4,F4),)</f>
        <v>65</v>
      </c>
      <c r="I4" s="41">
        <f t="shared" ref="I4:I10" ca="1" si="7">IF(B4&gt;0,VLOOKUP(B4,Food_Database,2,FALSE)*C4/convert,)</f>
        <v>172.25</v>
      </c>
      <c r="J4" s="134">
        <f ca="1">J3/J2</f>
        <v>0.9052829661472328</v>
      </c>
      <c r="K4" s="45" t="s">
        <v>746</v>
      </c>
      <c r="L4" s="194">
        <v>78</v>
      </c>
      <c r="M4" s="41">
        <f t="shared" ref="M4:M10" si="8">IF(K4&gt;0,VLOOKUP(K4,Food_Database,2,FALSE)*L4/convert,)</f>
        <v>206.7</v>
      </c>
      <c r="N4" s="38"/>
      <c r="O4" s="45" t="s">
        <v>746</v>
      </c>
      <c r="P4" s="194">
        <v>78</v>
      </c>
      <c r="Q4" s="41">
        <f t="shared" ref="Q4:Q10" si="9">IF(O4&gt;0,VLOOKUP(O4,Food_Database,2,FALSE)*P4/convert,)</f>
        <v>206.7</v>
      </c>
      <c r="R4" s="38"/>
      <c r="S4" s="45" t="s">
        <v>746</v>
      </c>
      <c r="T4" s="194">
        <v>78</v>
      </c>
      <c r="U4" s="41">
        <f t="shared" ref="U4:U10" si="10">IF(S4&gt;0,VLOOKUP(S4,Food_Database,2,FALSE)*T4/convert,)</f>
        <v>206.7</v>
      </c>
      <c r="V4" s="38"/>
      <c r="W4" s="45" t="s">
        <v>746</v>
      </c>
      <c r="X4" s="194">
        <v>78</v>
      </c>
      <c r="Y4" s="41">
        <f t="shared" ref="Y4:Y10" si="11">IF(W4&gt;0,VLOOKUP(W4,Food_Database,2,FALSE)*X4/convert,)</f>
        <v>206.7</v>
      </c>
      <c r="Z4" s="38"/>
      <c r="AA4" s="45" t="s">
        <v>746</v>
      </c>
      <c r="AB4" s="194">
        <v>78</v>
      </c>
      <c r="AC4" s="41">
        <f t="shared" ref="AC4:AC10" si="12">IF(AA4&gt;0,VLOOKUP(AA4,Food_Database,2,FALSE)*AB4/convert,)</f>
        <v>206.7</v>
      </c>
      <c r="AD4" s="38"/>
    </row>
    <row r="5" spans="1:30">
      <c r="A5" s="117">
        <v>2</v>
      </c>
      <c r="B5" s="46" t="str">
        <f t="shared" ca="1" si="0"/>
        <v>* EGG,WHITE,RAW</v>
      </c>
      <c r="C5" s="105">
        <f t="shared" ca="1" si="1"/>
        <v>213.5</v>
      </c>
      <c r="D5" s="49">
        <f t="shared" ca="1" si="2"/>
        <v>244</v>
      </c>
      <c r="E5" s="105">
        <f t="shared" ca="1" si="3"/>
        <v>220.8890437399248</v>
      </c>
      <c r="F5" s="105">
        <f t="shared" ca="1" si="4"/>
        <v>30.5</v>
      </c>
      <c r="G5" s="105">
        <f t="shared" ca="1" si="5"/>
        <v>244</v>
      </c>
      <c r="H5" s="105">
        <f t="shared" ca="1" si="6"/>
        <v>213.5</v>
      </c>
      <c r="I5" s="41">
        <f t="shared" ca="1" si="7"/>
        <v>102.48</v>
      </c>
      <c r="J5" s="118"/>
      <c r="K5" s="46" t="s">
        <v>175</v>
      </c>
      <c r="L5" s="195">
        <v>244</v>
      </c>
      <c r="M5" s="41">
        <f t="shared" si="8"/>
        <v>117.12</v>
      </c>
      <c r="N5" s="38"/>
      <c r="O5" s="46" t="s">
        <v>175</v>
      </c>
      <c r="P5" s="195">
        <v>244</v>
      </c>
      <c r="Q5" s="41">
        <f t="shared" si="9"/>
        <v>117.12</v>
      </c>
      <c r="R5" s="38"/>
      <c r="S5" s="46" t="s">
        <v>175</v>
      </c>
      <c r="T5" s="195">
        <v>244</v>
      </c>
      <c r="U5" s="41">
        <f t="shared" si="10"/>
        <v>117.12</v>
      </c>
      <c r="V5" s="38"/>
      <c r="W5" s="46" t="s">
        <v>175</v>
      </c>
      <c r="X5" s="195">
        <v>244</v>
      </c>
      <c r="Y5" s="41">
        <f t="shared" si="11"/>
        <v>117.12</v>
      </c>
      <c r="Z5" s="38"/>
      <c r="AA5" s="46" t="s">
        <v>175</v>
      </c>
      <c r="AB5" s="195">
        <v>244</v>
      </c>
      <c r="AC5" s="41">
        <f t="shared" si="12"/>
        <v>117.12</v>
      </c>
      <c r="AD5" s="38"/>
    </row>
    <row r="6" spans="1:30">
      <c r="A6" s="117">
        <v>3</v>
      </c>
      <c r="B6" s="46" t="str">
        <f t="shared" ca="1" si="0"/>
        <v>* EGG,WHOLE,RAW</v>
      </c>
      <c r="C6" s="105">
        <f t="shared" ca="1" si="1"/>
        <v>112</v>
      </c>
      <c r="D6" s="49">
        <f t="shared" ca="1" si="2"/>
        <v>112</v>
      </c>
      <c r="E6" s="105">
        <f t="shared" ca="1" si="3"/>
        <v>101.39169220849007</v>
      </c>
      <c r="F6" s="105">
        <f t="shared" ca="1" si="4"/>
        <v>56</v>
      </c>
      <c r="G6" s="105">
        <f t="shared" ca="1" si="5"/>
        <v>112</v>
      </c>
      <c r="H6" s="105">
        <f t="shared" ca="1" si="6"/>
        <v>56</v>
      </c>
      <c r="I6" s="41">
        <f t="shared" ca="1" si="7"/>
        <v>160.16</v>
      </c>
      <c r="J6" s="38"/>
      <c r="K6" s="46" t="s">
        <v>176</v>
      </c>
      <c r="L6" s="195">
        <v>112</v>
      </c>
      <c r="M6" s="41">
        <f t="shared" si="8"/>
        <v>160.16</v>
      </c>
      <c r="N6" s="38"/>
      <c r="O6" s="46" t="s">
        <v>176</v>
      </c>
      <c r="P6" s="195">
        <v>112</v>
      </c>
      <c r="Q6" s="41">
        <f t="shared" si="9"/>
        <v>160.16</v>
      </c>
      <c r="R6" s="38"/>
      <c r="S6" s="46" t="s">
        <v>176</v>
      </c>
      <c r="T6" s="195">
        <v>112</v>
      </c>
      <c r="U6" s="41">
        <f t="shared" si="10"/>
        <v>160.16</v>
      </c>
      <c r="V6" s="38"/>
      <c r="W6" s="46" t="s">
        <v>176</v>
      </c>
      <c r="X6" s="195">
        <v>112</v>
      </c>
      <c r="Y6" s="41">
        <f t="shared" si="11"/>
        <v>160.16</v>
      </c>
      <c r="Z6" s="38"/>
      <c r="AA6" s="46" t="s">
        <v>176</v>
      </c>
      <c r="AB6" s="195">
        <v>112</v>
      </c>
      <c r="AC6" s="41">
        <f t="shared" si="12"/>
        <v>160.16</v>
      </c>
      <c r="AD6" s="38"/>
    </row>
    <row r="7" spans="1:30">
      <c r="A7" s="117">
        <v>4</v>
      </c>
      <c r="B7" s="46" t="str">
        <f t="shared" ca="1" si="0"/>
        <v>* CEREALS MULTIGRAIN OATS,DRY</v>
      </c>
      <c r="C7" s="105">
        <f t="shared" ca="1" si="1"/>
        <v>70</v>
      </c>
      <c r="D7" s="49">
        <f t="shared" ca="1" si="2"/>
        <v>80</v>
      </c>
      <c r="E7" s="105">
        <f t="shared" ca="1" si="3"/>
        <v>72.422637291778628</v>
      </c>
      <c r="F7" s="105">
        <f t="shared" ca="1" si="4"/>
        <v>10</v>
      </c>
      <c r="G7" s="105">
        <f t="shared" ca="1" si="5"/>
        <v>80</v>
      </c>
      <c r="H7" s="105">
        <f t="shared" ca="1" si="6"/>
        <v>70</v>
      </c>
      <c r="I7" s="41">
        <f t="shared" ca="1" si="7"/>
        <v>233.1</v>
      </c>
      <c r="J7" s="38"/>
      <c r="K7" s="46" t="s">
        <v>653</v>
      </c>
      <c r="L7" s="195">
        <v>80</v>
      </c>
      <c r="M7" s="41">
        <f t="shared" si="8"/>
        <v>266.39999999999998</v>
      </c>
      <c r="N7" s="38"/>
      <c r="O7" s="46" t="s">
        <v>653</v>
      </c>
      <c r="P7" s="195">
        <v>40</v>
      </c>
      <c r="Q7" s="41">
        <f t="shared" si="9"/>
        <v>133.19999999999999</v>
      </c>
      <c r="R7" s="38"/>
      <c r="S7" s="46" t="s">
        <v>653</v>
      </c>
      <c r="T7" s="195">
        <v>80</v>
      </c>
      <c r="U7" s="41">
        <f t="shared" si="10"/>
        <v>266.39999999999998</v>
      </c>
      <c r="V7" s="38"/>
      <c r="W7" s="46" t="s">
        <v>653</v>
      </c>
      <c r="X7" s="195">
        <v>80</v>
      </c>
      <c r="Y7" s="41">
        <f t="shared" si="11"/>
        <v>266.39999999999998</v>
      </c>
      <c r="Z7" s="38"/>
      <c r="AA7" s="46" t="s">
        <v>653</v>
      </c>
      <c r="AB7" s="195">
        <v>60</v>
      </c>
      <c r="AC7" s="41">
        <f t="shared" si="12"/>
        <v>199.8</v>
      </c>
      <c r="AD7" s="38"/>
    </row>
    <row r="8" spans="1:30">
      <c r="A8" s="117">
        <v>5</v>
      </c>
      <c r="B8" s="46" t="str">
        <f t="shared" ca="1" si="0"/>
        <v>* STRAWBERRIES,RAW</v>
      </c>
      <c r="C8" s="105">
        <f t="shared" ca="1" si="1"/>
        <v>76</v>
      </c>
      <c r="D8" s="49">
        <f t="shared" ca="1" si="2"/>
        <v>75</v>
      </c>
      <c r="E8" s="105">
        <f t="shared" ca="1" si="3"/>
        <v>67.896222461042456</v>
      </c>
      <c r="F8" s="105">
        <f t="shared" ca="1" si="4"/>
        <v>19</v>
      </c>
      <c r="G8" s="105">
        <f t="shared" ca="1" si="5"/>
        <v>76</v>
      </c>
      <c r="H8" s="105">
        <f t="shared" ca="1" si="6"/>
        <v>57</v>
      </c>
      <c r="I8" s="41">
        <f t="shared" ca="1" si="7"/>
        <v>24.32</v>
      </c>
      <c r="J8" s="3"/>
      <c r="K8" s="46" t="s">
        <v>230</v>
      </c>
      <c r="L8" s="195">
        <v>75</v>
      </c>
      <c r="M8" s="41">
        <f t="shared" si="8"/>
        <v>24</v>
      </c>
      <c r="N8" s="3"/>
      <c r="O8" s="46" t="s">
        <v>230</v>
      </c>
      <c r="P8" s="195">
        <v>150</v>
      </c>
      <c r="Q8" s="41">
        <f t="shared" si="9"/>
        <v>48</v>
      </c>
      <c r="R8" s="3"/>
      <c r="S8" s="46" t="s">
        <v>230</v>
      </c>
      <c r="T8" s="195">
        <v>75</v>
      </c>
      <c r="U8" s="41">
        <f t="shared" si="10"/>
        <v>24</v>
      </c>
      <c r="V8" s="3"/>
      <c r="W8" s="46" t="s">
        <v>230</v>
      </c>
      <c r="X8" s="195">
        <v>75</v>
      </c>
      <c r="Y8" s="41">
        <f t="shared" si="11"/>
        <v>24</v>
      </c>
      <c r="Z8" s="3"/>
      <c r="AA8" s="46" t="s">
        <v>230</v>
      </c>
      <c r="AB8" s="195">
        <v>75</v>
      </c>
      <c r="AC8" s="41">
        <f t="shared" si="12"/>
        <v>24</v>
      </c>
      <c r="AD8" s="3"/>
    </row>
    <row r="9" spans="1:30">
      <c r="A9" s="117">
        <v>6</v>
      </c>
      <c r="B9" s="46" t="str">
        <f t="shared" ca="1" si="0"/>
        <v>PINEAPPLE,RAW</v>
      </c>
      <c r="C9" s="105">
        <f t="shared" ca="1" si="1"/>
        <v>82.5</v>
      </c>
      <c r="D9" s="49">
        <f t="shared" ca="1" si="2"/>
        <v>80</v>
      </c>
      <c r="E9" s="105">
        <f t="shared" ca="1" si="3"/>
        <v>72.422637291778628</v>
      </c>
      <c r="F9" s="105">
        <f t="shared" ca="1" si="4"/>
        <v>20.625</v>
      </c>
      <c r="G9" s="105">
        <f t="shared" ca="1" si="5"/>
        <v>82.5</v>
      </c>
      <c r="H9" s="105">
        <f t="shared" ca="1" si="6"/>
        <v>61.875</v>
      </c>
      <c r="I9" s="41">
        <f t="shared" ca="1" si="7"/>
        <v>41.25</v>
      </c>
      <c r="J9" s="4"/>
      <c r="K9" s="46" t="s">
        <v>777</v>
      </c>
      <c r="L9" s="195">
        <v>80</v>
      </c>
      <c r="M9" s="41">
        <f t="shared" si="8"/>
        <v>40</v>
      </c>
      <c r="N9" s="4"/>
      <c r="O9" s="46" t="s">
        <v>777</v>
      </c>
      <c r="P9" s="195">
        <v>80</v>
      </c>
      <c r="Q9" s="41">
        <f t="shared" si="9"/>
        <v>40</v>
      </c>
      <c r="R9" s="4"/>
      <c r="S9" s="46" t="s">
        <v>236</v>
      </c>
      <c r="T9" s="195">
        <v>500</v>
      </c>
      <c r="U9" s="41">
        <f t="shared" si="10"/>
        <v>0</v>
      </c>
      <c r="V9" s="4"/>
      <c r="W9" s="46" t="s">
        <v>777</v>
      </c>
      <c r="X9" s="195">
        <v>80</v>
      </c>
      <c r="Y9" s="41">
        <f t="shared" si="11"/>
        <v>40</v>
      </c>
      <c r="Z9" s="4"/>
      <c r="AA9" s="46" t="s">
        <v>777</v>
      </c>
      <c r="AB9" s="195">
        <v>80</v>
      </c>
      <c r="AC9" s="41">
        <f t="shared" si="12"/>
        <v>40</v>
      </c>
      <c r="AD9" s="4"/>
    </row>
    <row r="10" spans="1:30" ht="13.5" thickBot="1">
      <c r="A10" s="117">
        <v>7</v>
      </c>
      <c r="B10" s="47" t="str">
        <f t="shared" ca="1" si="0"/>
        <v>* WATER,TAP,DRINKING</v>
      </c>
      <c r="C10" s="106">
        <f t="shared" ca="1" si="1"/>
        <v>444.375</v>
      </c>
      <c r="D10" s="50">
        <f t="shared" ca="1" si="2"/>
        <v>500</v>
      </c>
      <c r="E10" s="106">
        <f t="shared" ca="1" si="3"/>
        <v>452.64148307361643</v>
      </c>
      <c r="F10" s="106">
        <f t="shared" ca="1" si="4"/>
        <v>29.625</v>
      </c>
      <c r="G10" s="106">
        <f t="shared" ca="1" si="5"/>
        <v>474</v>
      </c>
      <c r="H10" s="106">
        <f t="shared" ca="1" si="6"/>
        <v>444.375</v>
      </c>
      <c r="I10" s="44">
        <f t="shared" ca="1" si="7"/>
        <v>0</v>
      </c>
      <c r="J10" s="3"/>
      <c r="K10" s="47" t="s">
        <v>236</v>
      </c>
      <c r="L10" s="196">
        <v>500</v>
      </c>
      <c r="M10" s="44">
        <f t="shared" si="8"/>
        <v>0</v>
      </c>
      <c r="N10" s="3"/>
      <c r="O10" s="47" t="s">
        <v>236</v>
      </c>
      <c r="P10" s="196">
        <v>500</v>
      </c>
      <c r="Q10" s="44">
        <f t="shared" si="9"/>
        <v>0</v>
      </c>
      <c r="R10" s="3"/>
      <c r="S10" s="47"/>
      <c r="T10" s="50"/>
      <c r="U10" s="44">
        <f t="shared" si="10"/>
        <v>0</v>
      </c>
      <c r="V10" s="3"/>
      <c r="W10" s="47" t="s">
        <v>236</v>
      </c>
      <c r="X10" s="196">
        <v>500</v>
      </c>
      <c r="Y10" s="44">
        <f t="shared" si="11"/>
        <v>0</v>
      </c>
      <c r="Z10" s="3"/>
      <c r="AA10" s="47" t="s">
        <v>236</v>
      </c>
      <c r="AB10" s="196">
        <v>500</v>
      </c>
      <c r="AC10" s="44">
        <f t="shared" si="12"/>
        <v>0</v>
      </c>
      <c r="AD10" s="3"/>
    </row>
    <row r="11" spans="1:30" ht="13.5" thickBot="1">
      <c r="A11" s="117">
        <v>8</v>
      </c>
      <c r="B11" s="77" t="s">
        <v>268</v>
      </c>
      <c r="C11" s="3"/>
      <c r="D11" s="3"/>
      <c r="E11" s="3"/>
      <c r="F11" s="3"/>
      <c r="G11" s="3"/>
      <c r="H11" s="3"/>
      <c r="I11" s="3"/>
      <c r="J11" s="3"/>
      <c r="K11" s="77" t="s">
        <v>268</v>
      </c>
      <c r="L11" s="3"/>
      <c r="M11" s="3"/>
      <c r="N11" s="3"/>
      <c r="O11" s="77" t="s">
        <v>268</v>
      </c>
      <c r="P11" s="3"/>
      <c r="Q11" s="3"/>
      <c r="R11" s="3"/>
      <c r="S11" s="77" t="s">
        <v>268</v>
      </c>
      <c r="T11" s="3"/>
      <c r="U11" s="3"/>
      <c r="V11" s="3"/>
      <c r="W11" s="77" t="s">
        <v>268</v>
      </c>
      <c r="X11" s="3"/>
      <c r="Y11" s="3"/>
      <c r="Z11" s="3"/>
      <c r="AA11" s="77" t="s">
        <v>268</v>
      </c>
      <c r="AB11" s="3"/>
      <c r="AC11" s="3"/>
      <c r="AD11" s="3"/>
    </row>
    <row r="12" spans="1:30" ht="14.25" thickTop="1" thickBot="1">
      <c r="A12" s="117">
        <v>9</v>
      </c>
      <c r="B12" s="78"/>
      <c r="C12" s="79"/>
      <c r="D12" s="79" t="s">
        <v>1271</v>
      </c>
      <c r="E12" s="79"/>
      <c r="F12" s="79"/>
      <c r="G12" s="79"/>
      <c r="H12" s="79"/>
      <c r="I12" s="81">
        <f ca="1">SUM(I15:I21)</f>
        <v>549.9375</v>
      </c>
      <c r="J12" s="3"/>
      <c r="K12" s="78"/>
      <c r="L12" s="79" t="s">
        <v>1271</v>
      </c>
      <c r="M12" s="81">
        <f>SUM(M15:M21)</f>
        <v>565.88</v>
      </c>
      <c r="N12" s="3"/>
      <c r="O12" s="78"/>
      <c r="P12" s="79" t="s">
        <v>1271</v>
      </c>
      <c r="Q12" s="81">
        <f>SUM(Q15:Q21)</f>
        <v>555.36</v>
      </c>
      <c r="R12" s="3"/>
      <c r="S12" s="78"/>
      <c r="T12" s="79" t="s">
        <v>1271</v>
      </c>
      <c r="U12" s="81">
        <f>SUM(U15:U21)</f>
        <v>555.36</v>
      </c>
      <c r="V12" s="3"/>
      <c r="W12" s="78"/>
      <c r="X12" s="79" t="s">
        <v>1271</v>
      </c>
      <c r="Y12" s="81">
        <f>SUM(Y15:Y21)</f>
        <v>591.56000000000006</v>
      </c>
      <c r="Z12" s="3"/>
      <c r="AA12" s="78"/>
      <c r="AB12" s="79" t="s">
        <v>1271</v>
      </c>
      <c r="AC12" s="81">
        <f>SUM(AC15:AC21)</f>
        <v>589.36</v>
      </c>
      <c r="AD12" s="3"/>
    </row>
    <row r="13" spans="1:30" ht="13.5" thickBot="1">
      <c r="A13" s="117">
        <v>10</v>
      </c>
      <c r="B13" s="82" t="s">
        <v>200</v>
      </c>
      <c r="C13" s="83"/>
      <c r="D13" s="83" t="s">
        <v>1270</v>
      </c>
      <c r="E13" s="83"/>
      <c r="F13" s="83"/>
      <c r="G13" s="83"/>
      <c r="H13" s="83"/>
      <c r="I13" s="83"/>
      <c r="J13" s="3"/>
      <c r="K13" s="82" t="s">
        <v>1479</v>
      </c>
      <c r="L13" s="83" t="s">
        <v>1270</v>
      </c>
      <c r="M13" s="83"/>
      <c r="N13" s="3"/>
      <c r="O13" s="82" t="s">
        <v>1479</v>
      </c>
      <c r="P13" s="83" t="s">
        <v>1270</v>
      </c>
      <c r="Q13" s="83"/>
      <c r="R13" s="3"/>
      <c r="S13" s="82" t="s">
        <v>1479</v>
      </c>
      <c r="T13" s="83" t="s">
        <v>1270</v>
      </c>
      <c r="U13" s="83"/>
      <c r="V13" s="3"/>
      <c r="W13" s="82" t="s">
        <v>1479</v>
      </c>
      <c r="X13" s="83" t="s">
        <v>1270</v>
      </c>
      <c r="Y13" s="83"/>
      <c r="Z13" s="3"/>
      <c r="AA13" s="82" t="s">
        <v>1479</v>
      </c>
      <c r="AB13" s="83" t="s">
        <v>1270</v>
      </c>
      <c r="AC13" s="83"/>
      <c r="AD13" s="3"/>
    </row>
    <row r="14" spans="1:30" ht="13.5" thickBot="1">
      <c r="A14" s="117">
        <v>11</v>
      </c>
      <c r="B14" s="16" t="s">
        <v>1269</v>
      </c>
      <c r="C14" s="37"/>
      <c r="D14" s="37" t="str">
        <f>PROPER(units)</f>
        <v>Grams</v>
      </c>
      <c r="E14" s="37"/>
      <c r="F14" s="37"/>
      <c r="G14" s="37"/>
      <c r="H14" s="37"/>
      <c r="I14" s="36" t="s">
        <v>1474</v>
      </c>
      <c r="J14" s="3"/>
      <c r="K14" s="16" t="s">
        <v>1269</v>
      </c>
      <c r="L14" s="37" t="str">
        <f>PROPER(units)</f>
        <v>Grams</v>
      </c>
      <c r="M14" s="36" t="s">
        <v>1474</v>
      </c>
      <c r="N14" s="3"/>
      <c r="O14" s="16" t="s">
        <v>1269</v>
      </c>
      <c r="P14" s="37" t="str">
        <f>PROPER(units)</f>
        <v>Grams</v>
      </c>
      <c r="Q14" s="36" t="s">
        <v>1474</v>
      </c>
      <c r="R14" s="3"/>
      <c r="S14" s="16" t="s">
        <v>1269</v>
      </c>
      <c r="T14" s="37" t="str">
        <f>PROPER(units)</f>
        <v>Grams</v>
      </c>
      <c r="U14" s="36" t="s">
        <v>1474</v>
      </c>
      <c r="V14" s="3"/>
      <c r="W14" s="16" t="s">
        <v>1269</v>
      </c>
      <c r="X14" s="37" t="str">
        <f>PROPER(units)</f>
        <v>Grams</v>
      </c>
      <c r="Y14" s="36" t="s">
        <v>1474</v>
      </c>
      <c r="Z14" s="3"/>
      <c r="AA14" s="16" t="s">
        <v>1269</v>
      </c>
      <c r="AB14" s="37" t="str">
        <f>PROPER(units)</f>
        <v>Grams</v>
      </c>
      <c r="AC14" s="36" t="s">
        <v>1474</v>
      </c>
      <c r="AD14" s="3"/>
    </row>
    <row r="15" spans="1:30">
      <c r="A15" s="117">
        <v>12</v>
      </c>
      <c r="B15" s="45" t="str">
        <f t="shared" ref="B15:B21" ca="1" si="13">INDEX(INDIRECT(Body.db),A15,1)</f>
        <v>* RICE,BROWN,MEDIUM-GRAIN,RAW</v>
      </c>
      <c r="C15" s="104">
        <f t="shared" ref="C15:C21" ca="1" si="14">IF(B15&gt;0,IF(G15-E15&gt;E15-H15,H15,G15),)</f>
        <v>71.25</v>
      </c>
      <c r="D15" s="48">
        <f t="shared" ref="D15:D21" ca="1" si="15">INDEX(INDIRECT(VLOOKUP(Body.type,Body_type,5,FALSE)),A15,2)</f>
        <v>70</v>
      </c>
      <c r="E15" s="104">
        <f t="shared" ref="E15:E21" ca="1" si="16">IF(B15&gt;0,D15*$J$4,)</f>
        <v>63.369807630306298</v>
      </c>
      <c r="F15" s="104">
        <f t="shared" ref="F15:F21" ca="1" si="17">IF(B15&gt;0,VLOOKUP(B15,Food_Database,9,FALSE),)</f>
        <v>23.75</v>
      </c>
      <c r="G15" s="104">
        <f t="shared" ref="G15:G21" ca="1" si="18">IF(B15&gt;0,CEILING(E15,F15),)</f>
        <v>71.25</v>
      </c>
      <c r="H15" s="104">
        <f t="shared" ref="H15:H21" ca="1" si="19">IF(B15&gt;0,FLOOR(E15,F15),)</f>
        <v>47.5</v>
      </c>
      <c r="I15" s="41">
        <f t="shared" ref="I15:I21" ca="1" si="20">IF(B15&gt;0,VLOOKUP(B15,Food_Database,2,FALSE)*C15/convert,)</f>
        <v>257.92500000000001</v>
      </c>
      <c r="J15" s="3"/>
      <c r="K15" s="45" t="s">
        <v>223</v>
      </c>
      <c r="L15" s="194">
        <v>70</v>
      </c>
      <c r="M15" s="41">
        <f t="shared" ref="M15:M21" si="21">IF(K15&gt;0,VLOOKUP(K15,Food_Database,2,FALSE)*L15/convert,)</f>
        <v>253.4</v>
      </c>
      <c r="N15" s="3"/>
      <c r="O15" s="45" t="s">
        <v>223</v>
      </c>
      <c r="P15" s="194">
        <v>50</v>
      </c>
      <c r="Q15" s="41">
        <f t="shared" ref="Q15:Q21" si="22">IF(O15&gt;0,VLOOKUP(O15,Food_Database,2,FALSE)*P15/convert,)</f>
        <v>181</v>
      </c>
      <c r="R15" s="3"/>
      <c r="S15" s="45" t="s">
        <v>223</v>
      </c>
      <c r="T15" s="194">
        <v>50</v>
      </c>
      <c r="U15" s="41">
        <f t="shared" ref="U15:U21" si="23">IF(S15&gt;0,VLOOKUP(S15,Food_Database,2,FALSE)*T15/convert,)</f>
        <v>181</v>
      </c>
      <c r="V15" s="3"/>
      <c r="W15" s="45" t="s">
        <v>223</v>
      </c>
      <c r="X15" s="194">
        <v>60</v>
      </c>
      <c r="Y15" s="41">
        <f t="shared" ref="Y15:Y21" si="24">IF(W15&gt;0,VLOOKUP(W15,Food_Database,2,FALSE)*X15/convert,)</f>
        <v>217.2</v>
      </c>
      <c r="Z15" s="3"/>
      <c r="AA15" s="45" t="s">
        <v>223</v>
      </c>
      <c r="AB15" s="194">
        <v>60</v>
      </c>
      <c r="AC15" s="41">
        <f t="shared" ref="AC15:AC21" si="25">IF(AA15&gt;0,VLOOKUP(AA15,Food_Database,2,FALSE)*AB15/convert,)</f>
        <v>217.2</v>
      </c>
      <c r="AD15" s="3"/>
    </row>
    <row r="16" spans="1:30">
      <c r="A16" s="117">
        <v>13</v>
      </c>
      <c r="B16" s="46" t="str">
        <f t="shared" ca="1" si="13"/>
        <v>* CHICKEN BREAST,NO SKIN,RAW</v>
      </c>
      <c r="C16" s="105">
        <f t="shared" ca="1" si="14"/>
        <v>184.60000000000002</v>
      </c>
      <c r="D16" s="49">
        <f t="shared" ca="1" si="15"/>
        <v>200</v>
      </c>
      <c r="E16" s="105">
        <f t="shared" ca="1" si="16"/>
        <v>181.05659322944655</v>
      </c>
      <c r="F16" s="105">
        <f t="shared" ca="1" si="17"/>
        <v>14.200000000000001</v>
      </c>
      <c r="G16" s="105">
        <f t="shared" ca="1" si="18"/>
        <v>184.60000000000002</v>
      </c>
      <c r="H16" s="105">
        <f t="shared" ca="1" si="19"/>
        <v>170.4</v>
      </c>
      <c r="I16" s="41">
        <f t="shared" ca="1" si="20"/>
        <v>203.06000000000003</v>
      </c>
      <c r="J16" s="3"/>
      <c r="K16" s="46" t="s">
        <v>407</v>
      </c>
      <c r="L16" s="195">
        <v>200</v>
      </c>
      <c r="M16" s="41">
        <f t="shared" si="21"/>
        <v>220</v>
      </c>
      <c r="N16" s="3"/>
      <c r="O16" s="46" t="s">
        <v>407</v>
      </c>
      <c r="P16" s="195">
        <v>200</v>
      </c>
      <c r="Q16" s="41">
        <f t="shared" si="22"/>
        <v>220</v>
      </c>
      <c r="R16" s="3"/>
      <c r="S16" s="46" t="s">
        <v>407</v>
      </c>
      <c r="T16" s="195">
        <v>200</v>
      </c>
      <c r="U16" s="41">
        <f t="shared" si="23"/>
        <v>220</v>
      </c>
      <c r="V16" s="3"/>
      <c r="W16" s="46" t="s">
        <v>407</v>
      </c>
      <c r="X16" s="195">
        <v>200</v>
      </c>
      <c r="Y16" s="41">
        <f t="shared" si="24"/>
        <v>220</v>
      </c>
      <c r="Z16" s="3"/>
      <c r="AA16" s="46" t="s">
        <v>407</v>
      </c>
      <c r="AB16" s="195">
        <v>198</v>
      </c>
      <c r="AC16" s="41">
        <f t="shared" si="25"/>
        <v>217.8</v>
      </c>
      <c r="AD16" s="3"/>
    </row>
    <row r="17" spans="1:30">
      <c r="A17" s="117">
        <v>14</v>
      </c>
      <c r="B17" s="46" t="str">
        <f t="shared" ca="1" si="13"/>
        <v>* OIL,OLIVE</v>
      </c>
      <c r="C17" s="105">
        <f t="shared" ca="1" si="14"/>
        <v>7</v>
      </c>
      <c r="D17" s="49">
        <f t="shared" ca="1" si="15"/>
        <v>7</v>
      </c>
      <c r="E17" s="105">
        <f t="shared" ca="1" si="16"/>
        <v>6.3369807630306294</v>
      </c>
      <c r="F17" s="105">
        <f t="shared" ca="1" si="17"/>
        <v>7</v>
      </c>
      <c r="G17" s="105">
        <f t="shared" ca="1" si="18"/>
        <v>7</v>
      </c>
      <c r="H17" s="105">
        <f t="shared" ca="1" si="19"/>
        <v>0</v>
      </c>
      <c r="I17" s="41">
        <f t="shared" ca="1" si="20"/>
        <v>61.88</v>
      </c>
      <c r="J17" s="3"/>
      <c r="K17" s="46" t="s">
        <v>183</v>
      </c>
      <c r="L17" s="195">
        <v>7</v>
      </c>
      <c r="M17" s="41">
        <f t="shared" si="21"/>
        <v>61.88</v>
      </c>
      <c r="N17" s="3"/>
      <c r="O17" s="46" t="s">
        <v>183</v>
      </c>
      <c r="P17" s="195">
        <v>14</v>
      </c>
      <c r="Q17" s="41">
        <f t="shared" si="22"/>
        <v>123.76</v>
      </c>
      <c r="R17" s="3"/>
      <c r="S17" s="46" t="s">
        <v>183</v>
      </c>
      <c r="T17" s="195">
        <v>14</v>
      </c>
      <c r="U17" s="41">
        <f t="shared" si="23"/>
        <v>123.76</v>
      </c>
      <c r="V17" s="3"/>
      <c r="W17" s="46" t="s">
        <v>183</v>
      </c>
      <c r="X17" s="195">
        <v>14</v>
      </c>
      <c r="Y17" s="41">
        <f t="shared" si="24"/>
        <v>123.76</v>
      </c>
      <c r="Z17" s="3"/>
      <c r="AA17" s="46" t="s">
        <v>183</v>
      </c>
      <c r="AB17" s="195">
        <v>14</v>
      </c>
      <c r="AC17" s="41">
        <f t="shared" si="25"/>
        <v>123.76</v>
      </c>
      <c r="AD17" s="3"/>
    </row>
    <row r="18" spans="1:30">
      <c r="A18" s="117">
        <v>15</v>
      </c>
      <c r="B18" s="46" t="str">
        <f t="shared" ca="1" si="13"/>
        <v>* BROCCOLI,RAW</v>
      </c>
      <c r="C18" s="105">
        <f t="shared" ca="1" si="14"/>
        <v>79.625</v>
      </c>
      <c r="D18" s="49">
        <f t="shared" ca="1" si="15"/>
        <v>90</v>
      </c>
      <c r="E18" s="105">
        <f t="shared" ca="1" si="16"/>
        <v>81.475466953250958</v>
      </c>
      <c r="F18" s="105">
        <f t="shared" ca="1" si="17"/>
        <v>11.375</v>
      </c>
      <c r="G18" s="105">
        <f t="shared" ca="1" si="18"/>
        <v>91</v>
      </c>
      <c r="H18" s="105">
        <f t="shared" ca="1" si="19"/>
        <v>79.625</v>
      </c>
      <c r="I18" s="41">
        <f t="shared" ca="1" si="20"/>
        <v>27.072500000000002</v>
      </c>
      <c r="J18" s="3"/>
      <c r="K18" s="46" t="s">
        <v>240</v>
      </c>
      <c r="L18" s="195">
        <v>90</v>
      </c>
      <c r="M18" s="41">
        <f t="shared" si="21"/>
        <v>30.6</v>
      </c>
      <c r="N18" s="3"/>
      <c r="O18" s="46" t="s">
        <v>240</v>
      </c>
      <c r="P18" s="195">
        <v>90</v>
      </c>
      <c r="Q18" s="41">
        <f t="shared" si="22"/>
        <v>30.6</v>
      </c>
      <c r="R18" s="3"/>
      <c r="S18" s="46" t="s">
        <v>240</v>
      </c>
      <c r="T18" s="195">
        <v>90</v>
      </c>
      <c r="U18" s="41">
        <f t="shared" si="23"/>
        <v>30.6</v>
      </c>
      <c r="V18" s="3"/>
      <c r="W18" s="46" t="s">
        <v>240</v>
      </c>
      <c r="X18" s="195">
        <v>90</v>
      </c>
      <c r="Y18" s="41">
        <f t="shared" si="24"/>
        <v>30.6</v>
      </c>
      <c r="Z18" s="3"/>
      <c r="AA18" s="46" t="s">
        <v>240</v>
      </c>
      <c r="AB18" s="195">
        <v>90</v>
      </c>
      <c r="AC18" s="41">
        <f t="shared" si="25"/>
        <v>30.6</v>
      </c>
      <c r="AD18" s="3"/>
    </row>
    <row r="19" spans="1:30">
      <c r="A19" s="117">
        <v>16</v>
      </c>
      <c r="B19" s="46">
        <f t="shared" ca="1" si="13"/>
        <v>0</v>
      </c>
      <c r="C19" s="105">
        <f t="shared" ca="1" si="14"/>
        <v>0</v>
      </c>
      <c r="D19" s="49">
        <f t="shared" ca="1" si="15"/>
        <v>0</v>
      </c>
      <c r="E19" s="105">
        <f t="shared" ca="1" si="16"/>
        <v>0</v>
      </c>
      <c r="F19" s="105">
        <f t="shared" ca="1" si="17"/>
        <v>0</v>
      </c>
      <c r="G19" s="105">
        <f t="shared" ca="1" si="18"/>
        <v>0</v>
      </c>
      <c r="H19" s="105">
        <f t="shared" ca="1" si="19"/>
        <v>0</v>
      </c>
      <c r="I19" s="41">
        <f t="shared" ca="1" si="20"/>
        <v>0</v>
      </c>
      <c r="J19" s="3"/>
      <c r="K19" s="46"/>
      <c r="L19" s="49"/>
      <c r="M19" s="41">
        <f t="shared" si="21"/>
        <v>0</v>
      </c>
      <c r="N19" s="3"/>
      <c r="O19" s="46"/>
      <c r="P19" s="49"/>
      <c r="Q19" s="41">
        <f t="shared" si="22"/>
        <v>0</v>
      </c>
      <c r="R19" s="3"/>
      <c r="S19" s="46"/>
      <c r="T19" s="49"/>
      <c r="U19" s="41">
        <f t="shared" si="23"/>
        <v>0</v>
      </c>
      <c r="V19" s="3"/>
      <c r="W19" s="46"/>
      <c r="X19" s="49"/>
      <c r="Y19" s="41">
        <f t="shared" si="24"/>
        <v>0</v>
      </c>
      <c r="Z19" s="3"/>
      <c r="AA19" s="46"/>
      <c r="AB19" s="49"/>
      <c r="AC19" s="41">
        <f t="shared" si="25"/>
        <v>0</v>
      </c>
      <c r="AD19" s="3"/>
    </row>
    <row r="20" spans="1:30">
      <c r="A20" s="117">
        <v>17</v>
      </c>
      <c r="B20" s="46">
        <f t="shared" ca="1" si="13"/>
        <v>0</v>
      </c>
      <c r="C20" s="105">
        <f t="shared" ca="1" si="14"/>
        <v>0</v>
      </c>
      <c r="D20" s="49">
        <f t="shared" ca="1" si="15"/>
        <v>0</v>
      </c>
      <c r="E20" s="105">
        <f t="shared" ca="1" si="16"/>
        <v>0</v>
      </c>
      <c r="F20" s="105">
        <f t="shared" ca="1" si="17"/>
        <v>0</v>
      </c>
      <c r="G20" s="105">
        <f t="shared" ca="1" si="18"/>
        <v>0</v>
      </c>
      <c r="H20" s="105">
        <f t="shared" ca="1" si="19"/>
        <v>0</v>
      </c>
      <c r="I20" s="41">
        <f t="shared" ca="1" si="20"/>
        <v>0</v>
      </c>
      <c r="J20" s="3"/>
      <c r="K20" s="46"/>
      <c r="L20" s="49"/>
      <c r="M20" s="41">
        <f t="shared" si="21"/>
        <v>0</v>
      </c>
      <c r="N20" s="3"/>
      <c r="O20" s="46"/>
      <c r="P20" s="49"/>
      <c r="Q20" s="41">
        <f t="shared" si="22"/>
        <v>0</v>
      </c>
      <c r="R20" s="3"/>
      <c r="S20" s="46"/>
      <c r="T20" s="49"/>
      <c r="U20" s="41">
        <f t="shared" si="23"/>
        <v>0</v>
      </c>
      <c r="V20" s="3"/>
      <c r="W20" s="46"/>
      <c r="X20" s="49"/>
      <c r="Y20" s="41">
        <f t="shared" si="24"/>
        <v>0</v>
      </c>
      <c r="Z20" s="3"/>
      <c r="AA20" s="46"/>
      <c r="AB20" s="49"/>
      <c r="AC20" s="41">
        <f t="shared" si="25"/>
        <v>0</v>
      </c>
      <c r="AD20" s="3"/>
    </row>
    <row r="21" spans="1:30" ht="13.5" thickBot="1">
      <c r="A21" s="117">
        <v>18</v>
      </c>
      <c r="B21" s="47">
        <f t="shared" ca="1" si="13"/>
        <v>0</v>
      </c>
      <c r="C21" s="106">
        <f t="shared" ca="1" si="14"/>
        <v>0</v>
      </c>
      <c r="D21" s="50">
        <f t="shared" ca="1" si="15"/>
        <v>0</v>
      </c>
      <c r="E21" s="106">
        <f t="shared" ca="1" si="16"/>
        <v>0</v>
      </c>
      <c r="F21" s="106">
        <f t="shared" ca="1" si="17"/>
        <v>0</v>
      </c>
      <c r="G21" s="106">
        <f t="shared" ca="1" si="18"/>
        <v>0</v>
      </c>
      <c r="H21" s="106">
        <f t="shared" ca="1" si="19"/>
        <v>0</v>
      </c>
      <c r="I21" s="44">
        <f t="shared" ca="1" si="20"/>
        <v>0</v>
      </c>
      <c r="J21" s="3"/>
      <c r="K21" s="47"/>
      <c r="L21" s="50"/>
      <c r="M21" s="44">
        <f t="shared" si="21"/>
        <v>0</v>
      </c>
      <c r="N21" s="3"/>
      <c r="O21" s="47"/>
      <c r="P21" s="50"/>
      <c r="Q21" s="44">
        <f t="shared" si="22"/>
        <v>0</v>
      </c>
      <c r="R21" s="3"/>
      <c r="S21" s="47"/>
      <c r="T21" s="50"/>
      <c r="U21" s="44">
        <f t="shared" si="23"/>
        <v>0</v>
      </c>
      <c r="V21" s="3"/>
      <c r="W21" s="47"/>
      <c r="X21" s="50"/>
      <c r="Y21" s="44">
        <f t="shared" si="24"/>
        <v>0</v>
      </c>
      <c r="Z21" s="3"/>
      <c r="AA21" s="47"/>
      <c r="AB21" s="50"/>
      <c r="AC21" s="44">
        <f t="shared" si="25"/>
        <v>0</v>
      </c>
      <c r="AD21" s="3"/>
    </row>
    <row r="22" spans="1:30" ht="13.5" thickBot="1">
      <c r="A22" s="117">
        <v>19</v>
      </c>
      <c r="B22" s="77" t="s">
        <v>268</v>
      </c>
      <c r="C22" s="3"/>
      <c r="D22" s="3"/>
      <c r="E22" s="3"/>
      <c r="F22" s="3"/>
      <c r="G22" s="3"/>
      <c r="H22" s="3"/>
      <c r="I22" s="3"/>
      <c r="J22" s="3"/>
      <c r="K22" s="77" t="s">
        <v>268</v>
      </c>
      <c r="L22" s="3"/>
      <c r="M22" s="3"/>
      <c r="N22" s="3"/>
      <c r="O22" s="77" t="s">
        <v>268</v>
      </c>
      <c r="P22" s="3"/>
      <c r="Q22" s="3"/>
      <c r="R22" s="3"/>
      <c r="S22" s="77" t="s">
        <v>268</v>
      </c>
      <c r="T22" s="3"/>
      <c r="U22" s="3"/>
      <c r="V22" s="3"/>
      <c r="W22" s="77" t="s">
        <v>268</v>
      </c>
      <c r="X22" s="3"/>
      <c r="Y22" s="3"/>
      <c r="Z22" s="3"/>
      <c r="AA22" s="77" t="s">
        <v>268</v>
      </c>
      <c r="AB22" s="3"/>
      <c r="AC22" s="3"/>
      <c r="AD22" s="3"/>
    </row>
    <row r="23" spans="1:30" ht="14.25" thickTop="1" thickBot="1">
      <c r="A23" s="117">
        <v>20</v>
      </c>
      <c r="B23" s="78"/>
      <c r="C23" s="79"/>
      <c r="D23" s="79" t="s">
        <v>1271</v>
      </c>
      <c r="E23" s="79"/>
      <c r="F23" s="79"/>
      <c r="G23" s="79"/>
      <c r="H23" s="79"/>
      <c r="I23" s="81">
        <f ca="1">SUM(I26:I32)</f>
        <v>527.65625</v>
      </c>
      <c r="J23" s="3"/>
      <c r="K23" s="78"/>
      <c r="L23" s="79" t="s">
        <v>1271</v>
      </c>
      <c r="M23" s="81">
        <f>SUM(M26:M32)</f>
        <v>585.01</v>
      </c>
      <c r="N23" s="3"/>
      <c r="O23" s="78"/>
      <c r="P23" s="79" t="s">
        <v>1271</v>
      </c>
      <c r="Q23" s="81">
        <f>SUM(Q26:Q32)</f>
        <v>558.16000000000008</v>
      </c>
      <c r="R23" s="3"/>
      <c r="S23" s="78"/>
      <c r="T23" s="79" t="s">
        <v>1271</v>
      </c>
      <c r="U23" s="81">
        <f>SUM(U26:U32)</f>
        <v>582.55999999999995</v>
      </c>
      <c r="V23" s="3"/>
      <c r="W23" s="78"/>
      <c r="X23" s="79" t="s">
        <v>1271</v>
      </c>
      <c r="Y23" s="81">
        <f>SUM(Y26:Y32)</f>
        <v>582.55999999999995</v>
      </c>
      <c r="Z23" s="3"/>
      <c r="AA23" s="78"/>
      <c r="AB23" s="79" t="s">
        <v>1271</v>
      </c>
      <c r="AC23" s="81">
        <f>SUM(AC26:AC32)</f>
        <v>558.16000000000008</v>
      </c>
      <c r="AD23" s="3"/>
    </row>
    <row r="24" spans="1:30" ht="13.5" thickBot="1">
      <c r="A24" s="117">
        <v>21</v>
      </c>
      <c r="B24" s="82" t="s">
        <v>1483</v>
      </c>
      <c r="C24" s="83"/>
      <c r="D24" s="83" t="s">
        <v>1270</v>
      </c>
      <c r="E24" s="83"/>
      <c r="F24" s="83"/>
      <c r="G24" s="83"/>
      <c r="H24" s="83"/>
      <c r="I24" s="83"/>
      <c r="J24" s="3"/>
      <c r="K24" s="82" t="s">
        <v>1483</v>
      </c>
      <c r="L24" s="83" t="s">
        <v>1270</v>
      </c>
      <c r="M24" s="83"/>
      <c r="N24" s="3"/>
      <c r="O24" s="82" t="s">
        <v>1483</v>
      </c>
      <c r="P24" s="83" t="s">
        <v>1270</v>
      </c>
      <c r="Q24" s="83"/>
      <c r="R24" s="3"/>
      <c r="S24" s="82" t="s">
        <v>1483</v>
      </c>
      <c r="T24" s="83" t="s">
        <v>1270</v>
      </c>
      <c r="U24" s="83"/>
      <c r="V24" s="3"/>
      <c r="W24" s="82" t="s">
        <v>1483</v>
      </c>
      <c r="X24" s="83" t="s">
        <v>1270</v>
      </c>
      <c r="Y24" s="83"/>
      <c r="Z24" s="3"/>
      <c r="AA24" s="82" t="s">
        <v>1483</v>
      </c>
      <c r="AB24" s="83" t="s">
        <v>1270</v>
      </c>
      <c r="AC24" s="83"/>
      <c r="AD24" s="3"/>
    </row>
    <row r="25" spans="1:30" ht="13.5" thickBot="1">
      <c r="A25" s="117">
        <v>22</v>
      </c>
      <c r="B25" s="16" t="s">
        <v>1269</v>
      </c>
      <c r="C25" s="37"/>
      <c r="D25" s="37" t="str">
        <f>PROPER(units)</f>
        <v>Grams</v>
      </c>
      <c r="E25" s="37"/>
      <c r="F25" s="37"/>
      <c r="G25" s="37"/>
      <c r="H25" s="37"/>
      <c r="I25" s="36" t="s">
        <v>1474</v>
      </c>
      <c r="J25" s="3"/>
      <c r="K25" s="16" t="s">
        <v>1269</v>
      </c>
      <c r="L25" s="37" t="str">
        <f>PROPER(units)</f>
        <v>Grams</v>
      </c>
      <c r="M25" s="36" t="s">
        <v>1474</v>
      </c>
      <c r="N25" s="3"/>
      <c r="O25" s="16" t="s">
        <v>1269</v>
      </c>
      <c r="P25" s="37" t="str">
        <f>PROPER(units)</f>
        <v>Grams</v>
      </c>
      <c r="Q25" s="36" t="s">
        <v>1474</v>
      </c>
      <c r="R25" s="3"/>
      <c r="S25" s="16" t="s">
        <v>1269</v>
      </c>
      <c r="T25" s="37" t="str">
        <f>PROPER(units)</f>
        <v>Grams</v>
      </c>
      <c r="U25" s="36" t="s">
        <v>1474</v>
      </c>
      <c r="V25" s="3"/>
      <c r="W25" s="16" t="s">
        <v>1269</v>
      </c>
      <c r="X25" s="37" t="str">
        <f>PROPER(units)</f>
        <v>Grams</v>
      </c>
      <c r="Y25" s="36" t="s">
        <v>1474</v>
      </c>
      <c r="Z25" s="3"/>
      <c r="AA25" s="16" t="s">
        <v>1269</v>
      </c>
      <c r="AB25" s="37" t="str">
        <f>PROPER(units)</f>
        <v>Grams</v>
      </c>
      <c r="AC25" s="36" t="s">
        <v>1474</v>
      </c>
      <c r="AD25" s="3"/>
    </row>
    <row r="26" spans="1:30">
      <c r="A26" s="117">
        <v>23</v>
      </c>
      <c r="B26" s="45" t="str">
        <f t="shared" ref="B26:B32" ca="1" si="26">INDEX(INDIRECT(Body.db),A26,1)</f>
        <v>* BREAD,PITA,WHOLE-WHEAT</v>
      </c>
      <c r="C26" s="104">
        <f t="shared" ref="C26:C32" ca="1" si="27">IF(B26&gt;0,IF(G26-E26&gt;E26-H26,H26,G26),)</f>
        <v>64</v>
      </c>
      <c r="D26" s="48">
        <f t="shared" ref="D26:D32" ca="1" si="28">INDEX(INDIRECT(VLOOKUP(Body.type,Body_type,5,FALSE)),A26,2)</f>
        <v>64</v>
      </c>
      <c r="E26" s="104">
        <f t="shared" ref="E26:E32" ca="1" si="29">IF(B26&gt;0,D26*$J$4,)</f>
        <v>57.938109833422899</v>
      </c>
      <c r="F26" s="104">
        <f t="shared" ref="F26:F32" ca="1" si="30">IF(B26&gt;0,VLOOKUP(B26,Food_Database,9,FALSE),)</f>
        <v>32</v>
      </c>
      <c r="G26" s="104">
        <f t="shared" ref="G26:G32" ca="1" si="31">IF(B26&gt;0,CEILING(E26,F26),)</f>
        <v>64</v>
      </c>
      <c r="H26" s="104">
        <f t="shared" ref="H26:H32" ca="1" si="32">IF(B26&gt;0,FLOOR(E26,F26),)</f>
        <v>32</v>
      </c>
      <c r="I26" s="41">
        <f t="shared" ref="I26:I32" ca="1" si="33">IF(B26&gt;0,VLOOKUP(B26,Food_Database,2,FALSE)*C26/convert,)</f>
        <v>170.24</v>
      </c>
      <c r="J26" s="3"/>
      <c r="K26" s="45" t="s">
        <v>220</v>
      </c>
      <c r="L26" s="194">
        <v>64</v>
      </c>
      <c r="M26" s="41">
        <f t="shared" ref="M26:M32" si="34">IF(K26&gt;0,VLOOKUP(K26,Food_Database,2,FALSE)*L26/convert,)</f>
        <v>170.24</v>
      </c>
      <c r="N26" s="3"/>
      <c r="O26" s="45" t="s">
        <v>220</v>
      </c>
      <c r="P26" s="194">
        <v>32</v>
      </c>
      <c r="Q26" s="41">
        <f t="shared" ref="Q26:Q32" si="35">IF(O26&gt;0,VLOOKUP(O26,Food_Database,2,FALSE)*P26/convert,)</f>
        <v>85.12</v>
      </c>
      <c r="R26" s="3"/>
      <c r="S26" s="45" t="s">
        <v>220</v>
      </c>
      <c r="T26" s="194">
        <v>64</v>
      </c>
      <c r="U26" s="41">
        <f t="shared" ref="U26:U32" si="36">IF(S26&gt;0,VLOOKUP(S26,Food_Database,2,FALSE)*T26/convert,)</f>
        <v>170.24</v>
      </c>
      <c r="V26" s="3"/>
      <c r="W26" s="45" t="s">
        <v>220</v>
      </c>
      <c r="X26" s="194">
        <v>64</v>
      </c>
      <c r="Y26" s="41">
        <f t="shared" ref="Y26:Y32" si="37">IF(W26&gt;0,VLOOKUP(W26,Food_Database,2,FALSE)*X26/convert,)</f>
        <v>170.24</v>
      </c>
      <c r="Z26" s="3"/>
      <c r="AA26" s="45" t="s">
        <v>220</v>
      </c>
      <c r="AB26" s="194">
        <v>32</v>
      </c>
      <c r="AC26" s="41">
        <f t="shared" ref="AC26:AC32" si="38">IF(AA26&gt;0,VLOOKUP(AA26,Food_Database,2,FALSE)*AB26/convert,)</f>
        <v>85.12</v>
      </c>
      <c r="AD26" s="3"/>
    </row>
    <row r="27" spans="1:30">
      <c r="A27" s="117">
        <v>24</v>
      </c>
      <c r="B27" s="46" t="str">
        <f t="shared" ca="1" si="26"/>
        <v>* TURKEY BREAST MEAT</v>
      </c>
      <c r="C27" s="105">
        <f t="shared" ca="1" si="27"/>
        <v>73.5</v>
      </c>
      <c r="D27" s="49">
        <f t="shared" ca="1" si="28"/>
        <v>84</v>
      </c>
      <c r="E27" s="105">
        <f t="shared" ca="1" si="29"/>
        <v>76.04376915636756</v>
      </c>
      <c r="F27" s="105">
        <f t="shared" ca="1" si="30"/>
        <v>10.5</v>
      </c>
      <c r="G27" s="105">
        <f t="shared" ca="1" si="31"/>
        <v>84</v>
      </c>
      <c r="H27" s="105">
        <f t="shared" ca="1" si="32"/>
        <v>73.5</v>
      </c>
      <c r="I27" s="41">
        <f t="shared" ca="1" si="33"/>
        <v>76.44</v>
      </c>
      <c r="J27" s="3"/>
      <c r="K27" s="46" t="s">
        <v>219</v>
      </c>
      <c r="L27" s="195">
        <v>84</v>
      </c>
      <c r="M27" s="41">
        <f t="shared" si="34"/>
        <v>87.36</v>
      </c>
      <c r="N27" s="3"/>
      <c r="O27" s="46" t="s">
        <v>219</v>
      </c>
      <c r="P27" s="195">
        <v>105</v>
      </c>
      <c r="Q27" s="41">
        <f t="shared" si="35"/>
        <v>109.2</v>
      </c>
      <c r="R27" s="3"/>
      <c r="S27" s="46" t="s">
        <v>219</v>
      </c>
      <c r="T27" s="195">
        <v>84</v>
      </c>
      <c r="U27" s="41">
        <f t="shared" si="36"/>
        <v>87.36</v>
      </c>
      <c r="V27" s="3"/>
      <c r="W27" s="46" t="s">
        <v>219</v>
      </c>
      <c r="X27" s="195">
        <v>84</v>
      </c>
      <c r="Y27" s="41">
        <f t="shared" si="37"/>
        <v>87.36</v>
      </c>
      <c r="Z27" s="3"/>
      <c r="AA27" s="46" t="s">
        <v>219</v>
      </c>
      <c r="AB27" s="195">
        <v>105</v>
      </c>
      <c r="AC27" s="41">
        <f t="shared" si="38"/>
        <v>109.2</v>
      </c>
      <c r="AD27" s="3"/>
    </row>
    <row r="28" spans="1:30">
      <c r="A28" s="117">
        <v>25</v>
      </c>
      <c r="B28" s="46" t="str">
        <f t="shared" ca="1" si="26"/>
        <v>* SALAD DRSNG, MIRACLE WHIP</v>
      </c>
      <c r="C28" s="105">
        <f t="shared" ca="1" si="27"/>
        <v>16</v>
      </c>
      <c r="D28" s="49">
        <f t="shared" ca="1" si="28"/>
        <v>16</v>
      </c>
      <c r="E28" s="105">
        <f t="shared" ca="1" si="29"/>
        <v>14.484527458355725</v>
      </c>
      <c r="F28" s="105">
        <f t="shared" ca="1" si="30"/>
        <v>8</v>
      </c>
      <c r="G28" s="105">
        <f t="shared" ca="1" si="31"/>
        <v>16</v>
      </c>
      <c r="H28" s="105">
        <f t="shared" ca="1" si="32"/>
        <v>8</v>
      </c>
      <c r="I28" s="41">
        <f t="shared" ca="1" si="33"/>
        <v>13.44</v>
      </c>
      <c r="J28" s="3"/>
      <c r="K28" s="46" t="s">
        <v>387</v>
      </c>
      <c r="L28" s="195">
        <v>16</v>
      </c>
      <c r="M28" s="41">
        <f t="shared" si="34"/>
        <v>13.44</v>
      </c>
      <c r="N28" s="3"/>
      <c r="O28" s="46" t="s">
        <v>387</v>
      </c>
      <c r="P28" s="195">
        <v>16</v>
      </c>
      <c r="Q28" s="41">
        <f t="shared" si="35"/>
        <v>13.44</v>
      </c>
      <c r="R28" s="3"/>
      <c r="S28" s="46" t="s">
        <v>387</v>
      </c>
      <c r="T28" s="195">
        <v>16</v>
      </c>
      <c r="U28" s="41">
        <f t="shared" si="36"/>
        <v>13.44</v>
      </c>
      <c r="V28" s="3"/>
      <c r="W28" s="46" t="s">
        <v>387</v>
      </c>
      <c r="X28" s="195">
        <v>16</v>
      </c>
      <c r="Y28" s="41">
        <f t="shared" si="37"/>
        <v>13.44</v>
      </c>
      <c r="Z28" s="3"/>
      <c r="AA28" s="46" t="s">
        <v>387</v>
      </c>
      <c r="AB28" s="195">
        <v>16</v>
      </c>
      <c r="AC28" s="41">
        <f t="shared" si="38"/>
        <v>13.44</v>
      </c>
      <c r="AD28" s="3"/>
    </row>
    <row r="29" spans="1:30">
      <c r="A29" s="117">
        <v>26</v>
      </c>
      <c r="B29" s="46" t="str">
        <f t="shared" ca="1" si="26"/>
        <v xml:space="preserve">* CHEESE,COTTAGE,LOWFAT,1% </v>
      </c>
      <c r="C29" s="105">
        <f t="shared" ca="1" si="27"/>
        <v>197.75</v>
      </c>
      <c r="D29" s="49">
        <f t="shared" ca="1" si="28"/>
        <v>226</v>
      </c>
      <c r="E29" s="105">
        <f t="shared" ca="1" si="29"/>
        <v>204.59395034927462</v>
      </c>
      <c r="F29" s="105">
        <f t="shared" ca="1" si="30"/>
        <v>28.25</v>
      </c>
      <c r="G29" s="105">
        <f t="shared" ca="1" si="31"/>
        <v>226</v>
      </c>
      <c r="H29" s="105">
        <f t="shared" ca="1" si="32"/>
        <v>197.75</v>
      </c>
      <c r="I29" s="41">
        <f t="shared" ca="1" si="33"/>
        <v>142.38</v>
      </c>
      <c r="J29" s="3"/>
      <c r="K29" s="46" t="s">
        <v>381</v>
      </c>
      <c r="L29" s="195">
        <v>226</v>
      </c>
      <c r="M29" s="41">
        <f t="shared" si="34"/>
        <v>162.72</v>
      </c>
      <c r="N29" s="3"/>
      <c r="O29" s="46" t="s">
        <v>381</v>
      </c>
      <c r="P29" s="195">
        <v>280</v>
      </c>
      <c r="Q29" s="41">
        <f t="shared" si="35"/>
        <v>201.6</v>
      </c>
      <c r="R29" s="3"/>
      <c r="S29" s="46" t="s">
        <v>381</v>
      </c>
      <c r="T29" s="195">
        <v>226</v>
      </c>
      <c r="U29" s="41">
        <f t="shared" si="36"/>
        <v>162.72</v>
      </c>
      <c r="V29" s="3"/>
      <c r="W29" s="46" t="s">
        <v>381</v>
      </c>
      <c r="X29" s="195">
        <v>226</v>
      </c>
      <c r="Y29" s="41">
        <f t="shared" si="37"/>
        <v>162.72</v>
      </c>
      <c r="Z29" s="3"/>
      <c r="AA29" s="46" t="s">
        <v>381</v>
      </c>
      <c r="AB29" s="195">
        <v>280</v>
      </c>
      <c r="AC29" s="41">
        <f t="shared" si="38"/>
        <v>201.6</v>
      </c>
      <c r="AD29" s="3"/>
    </row>
    <row r="30" spans="1:30">
      <c r="A30" s="117">
        <v>27</v>
      </c>
      <c r="B30" s="46" t="str">
        <f t="shared" ca="1" si="26"/>
        <v>* APPLES,RAW,WITH SKIN</v>
      </c>
      <c r="C30" s="105">
        <f t="shared" ca="1" si="27"/>
        <v>109.375</v>
      </c>
      <c r="D30" s="49">
        <f t="shared" ca="1" si="28"/>
        <v>125</v>
      </c>
      <c r="E30" s="105">
        <f t="shared" ca="1" si="29"/>
        <v>113.16037076840411</v>
      </c>
      <c r="F30" s="105">
        <f t="shared" ca="1" si="30"/>
        <v>15.625</v>
      </c>
      <c r="G30" s="105">
        <f t="shared" ca="1" si="31"/>
        <v>125</v>
      </c>
      <c r="H30" s="105">
        <f t="shared" ca="1" si="32"/>
        <v>109.375</v>
      </c>
      <c r="I30" s="41">
        <f t="shared" ca="1" si="33"/>
        <v>56.875</v>
      </c>
      <c r="J30" s="3"/>
      <c r="K30" s="46" t="s">
        <v>225</v>
      </c>
      <c r="L30" s="195">
        <v>125</v>
      </c>
      <c r="M30" s="41">
        <f t="shared" si="34"/>
        <v>65</v>
      </c>
      <c r="N30" s="3"/>
      <c r="O30" s="46" t="s">
        <v>225</v>
      </c>
      <c r="P30" s="195">
        <v>65</v>
      </c>
      <c r="Q30" s="41">
        <f t="shared" si="35"/>
        <v>33.799999999999997</v>
      </c>
      <c r="R30" s="3"/>
      <c r="S30" s="46" t="s">
        <v>225</v>
      </c>
      <c r="T30" s="195">
        <v>65</v>
      </c>
      <c r="U30" s="41">
        <f t="shared" si="36"/>
        <v>33.799999999999997</v>
      </c>
      <c r="V30" s="3"/>
      <c r="W30" s="46" t="s">
        <v>225</v>
      </c>
      <c r="X30" s="195">
        <v>65</v>
      </c>
      <c r="Y30" s="41">
        <f t="shared" si="37"/>
        <v>33.799999999999997</v>
      </c>
      <c r="Z30" s="3"/>
      <c r="AA30" s="46" t="s">
        <v>225</v>
      </c>
      <c r="AB30" s="195">
        <v>65</v>
      </c>
      <c r="AC30" s="41">
        <f t="shared" si="38"/>
        <v>33.799999999999997</v>
      </c>
      <c r="AD30" s="3"/>
    </row>
    <row r="31" spans="1:30">
      <c r="A31" s="117">
        <v>28</v>
      </c>
      <c r="B31" s="46" t="str">
        <f t="shared" ca="1" si="26"/>
        <v>* ALMONDS</v>
      </c>
      <c r="C31" s="105">
        <f t="shared" ca="1" si="27"/>
        <v>11.875</v>
      </c>
      <c r="D31" s="49">
        <f t="shared" ca="1" si="28"/>
        <v>15</v>
      </c>
      <c r="E31" s="105">
        <f t="shared" ca="1" si="29"/>
        <v>13.579244492208492</v>
      </c>
      <c r="F31" s="105">
        <f t="shared" ca="1" si="30"/>
        <v>11.875</v>
      </c>
      <c r="G31" s="105">
        <f t="shared" ca="1" si="31"/>
        <v>23.75</v>
      </c>
      <c r="H31" s="105">
        <f t="shared" ca="1" si="32"/>
        <v>11.875</v>
      </c>
      <c r="I31" s="41">
        <f t="shared" ca="1" si="33"/>
        <v>68.28125</v>
      </c>
      <c r="J31" s="3"/>
      <c r="K31" s="46" t="s">
        <v>250</v>
      </c>
      <c r="L31" s="195">
        <v>15</v>
      </c>
      <c r="M31" s="41">
        <f t="shared" si="34"/>
        <v>86.25</v>
      </c>
      <c r="N31" s="3"/>
      <c r="O31" s="46" t="s">
        <v>250</v>
      </c>
      <c r="P31" s="195">
        <v>20</v>
      </c>
      <c r="Q31" s="41">
        <f t="shared" si="35"/>
        <v>115</v>
      </c>
      <c r="R31" s="3"/>
      <c r="S31" s="46" t="s">
        <v>250</v>
      </c>
      <c r="T31" s="195">
        <v>20</v>
      </c>
      <c r="U31" s="41">
        <f t="shared" si="36"/>
        <v>115</v>
      </c>
      <c r="V31" s="3"/>
      <c r="W31" s="46" t="s">
        <v>250</v>
      </c>
      <c r="X31" s="195">
        <v>20</v>
      </c>
      <c r="Y31" s="41">
        <f t="shared" si="37"/>
        <v>115</v>
      </c>
      <c r="Z31" s="3"/>
      <c r="AA31" s="46" t="s">
        <v>250</v>
      </c>
      <c r="AB31" s="195">
        <v>20</v>
      </c>
      <c r="AC31" s="41">
        <f t="shared" si="38"/>
        <v>115</v>
      </c>
      <c r="AD31" s="3"/>
    </row>
    <row r="32" spans="1:30" ht="13.5" thickBot="1">
      <c r="A32" s="117">
        <v>29</v>
      </c>
      <c r="B32" s="47">
        <f t="shared" ca="1" si="26"/>
        <v>0</v>
      </c>
      <c r="C32" s="106">
        <f t="shared" ca="1" si="27"/>
        <v>0</v>
      </c>
      <c r="D32" s="50">
        <f t="shared" ca="1" si="28"/>
        <v>0</v>
      </c>
      <c r="E32" s="106">
        <f t="shared" ca="1" si="29"/>
        <v>0</v>
      </c>
      <c r="F32" s="106">
        <f t="shared" ca="1" si="30"/>
        <v>0</v>
      </c>
      <c r="G32" s="106">
        <f t="shared" ca="1" si="31"/>
        <v>0</v>
      </c>
      <c r="H32" s="106">
        <f t="shared" ca="1" si="32"/>
        <v>0</v>
      </c>
      <c r="I32" s="44">
        <f t="shared" ca="1" si="33"/>
        <v>0</v>
      </c>
      <c r="J32" s="3"/>
      <c r="K32" s="47"/>
      <c r="L32" s="53"/>
      <c r="M32" s="44">
        <f t="shared" si="34"/>
        <v>0</v>
      </c>
      <c r="N32" s="3"/>
      <c r="O32" s="47"/>
      <c r="P32" s="53"/>
      <c r="Q32" s="44">
        <f t="shared" si="35"/>
        <v>0</v>
      </c>
      <c r="R32" s="3"/>
      <c r="S32" s="47"/>
      <c r="T32" s="53"/>
      <c r="U32" s="44">
        <f t="shared" si="36"/>
        <v>0</v>
      </c>
      <c r="V32" s="3"/>
      <c r="W32" s="47"/>
      <c r="X32" s="53"/>
      <c r="Y32" s="44">
        <f t="shared" si="37"/>
        <v>0</v>
      </c>
      <c r="Z32" s="3"/>
      <c r="AA32" s="47"/>
      <c r="AB32" s="53"/>
      <c r="AC32" s="44">
        <f t="shared" si="38"/>
        <v>0</v>
      </c>
      <c r="AD32" s="3"/>
    </row>
    <row r="33" spans="1:30" ht="13.5" thickBot="1">
      <c r="A33" s="117">
        <v>30</v>
      </c>
      <c r="B33" s="77" t="s">
        <v>268</v>
      </c>
      <c r="C33" s="3"/>
      <c r="D33" s="3"/>
      <c r="E33" s="3"/>
      <c r="F33" s="3"/>
      <c r="G33" s="3"/>
      <c r="H33" s="3"/>
      <c r="I33" s="3"/>
      <c r="J33" s="3"/>
      <c r="K33" s="77" t="s">
        <v>268</v>
      </c>
      <c r="L33" s="3"/>
      <c r="M33" s="3"/>
      <c r="N33" s="3"/>
      <c r="O33" s="77" t="s">
        <v>268</v>
      </c>
      <c r="P33" s="3"/>
      <c r="Q33" s="3"/>
      <c r="R33" s="3"/>
      <c r="S33" s="77" t="s">
        <v>268</v>
      </c>
      <c r="T33" s="3"/>
      <c r="U33" s="3"/>
      <c r="V33" s="3"/>
      <c r="W33" s="77" t="s">
        <v>268</v>
      </c>
      <c r="X33" s="3"/>
      <c r="Y33" s="3"/>
      <c r="Z33" s="3"/>
      <c r="AA33" s="77" t="s">
        <v>268</v>
      </c>
      <c r="AB33" s="3"/>
      <c r="AC33" s="3"/>
      <c r="AD33" s="3"/>
    </row>
    <row r="34" spans="1:30" ht="14.25" thickTop="1" thickBot="1">
      <c r="A34" s="117">
        <v>31</v>
      </c>
      <c r="B34" s="78"/>
      <c r="C34" s="79"/>
      <c r="D34" s="79" t="s">
        <v>1271</v>
      </c>
      <c r="E34" s="79"/>
      <c r="F34" s="79"/>
      <c r="G34" s="79"/>
      <c r="H34" s="79"/>
      <c r="I34" s="81">
        <f ca="1">SUM(I37:I43)</f>
        <v>528.62900000000002</v>
      </c>
      <c r="J34" s="3"/>
      <c r="K34" s="78"/>
      <c r="L34" s="79" t="s">
        <v>1271</v>
      </c>
      <c r="M34" s="81">
        <f>SUM(M37:M43)</f>
        <v>544.12</v>
      </c>
      <c r="N34" s="3"/>
      <c r="O34" s="78"/>
      <c r="P34" s="79" t="s">
        <v>1271</v>
      </c>
      <c r="Q34" s="81">
        <f>SUM(Q37:Q43)</f>
        <v>533.26</v>
      </c>
      <c r="R34" s="3"/>
      <c r="S34" s="78"/>
      <c r="T34" s="79" t="s">
        <v>1271</v>
      </c>
      <c r="U34" s="81">
        <f>SUM(U37:U43)</f>
        <v>569.13800000000003</v>
      </c>
      <c r="V34" s="3"/>
      <c r="W34" s="78"/>
      <c r="X34" s="79" t="s">
        <v>1271</v>
      </c>
      <c r="Y34" s="81">
        <f>SUM(Y37:Y43)</f>
        <v>587.56000000000006</v>
      </c>
      <c r="Z34" s="3"/>
      <c r="AA34" s="78"/>
      <c r="AB34" s="79" t="s">
        <v>1271</v>
      </c>
      <c r="AC34" s="81">
        <f>SUM(AC37:AC43)</f>
        <v>547.69000000000005</v>
      </c>
      <c r="AD34" s="3"/>
    </row>
    <row r="35" spans="1:30" ht="13.5" thickBot="1">
      <c r="A35" s="117">
        <v>32</v>
      </c>
      <c r="B35" s="82" t="s">
        <v>201</v>
      </c>
      <c r="C35" s="83"/>
      <c r="D35" s="83" t="s">
        <v>1270</v>
      </c>
      <c r="E35" s="83"/>
      <c r="F35" s="83"/>
      <c r="G35" s="83"/>
      <c r="H35" s="83"/>
      <c r="I35" s="83"/>
      <c r="J35" s="3"/>
      <c r="K35" s="82" t="s">
        <v>1480</v>
      </c>
      <c r="L35" s="83" t="s">
        <v>1270</v>
      </c>
      <c r="M35" s="83"/>
      <c r="N35" s="3"/>
      <c r="O35" s="82" t="s">
        <v>1480</v>
      </c>
      <c r="P35" s="83" t="s">
        <v>1270</v>
      </c>
      <c r="Q35" s="83"/>
      <c r="R35" s="3"/>
      <c r="S35" s="82" t="s">
        <v>1480</v>
      </c>
      <c r="T35" s="83" t="s">
        <v>1270</v>
      </c>
      <c r="U35" s="83"/>
      <c r="V35" s="3"/>
      <c r="W35" s="82" t="s">
        <v>1480</v>
      </c>
      <c r="X35" s="83" t="s">
        <v>1270</v>
      </c>
      <c r="Y35" s="83"/>
      <c r="Z35" s="3"/>
      <c r="AA35" s="82" t="s">
        <v>1480</v>
      </c>
      <c r="AB35" s="83" t="s">
        <v>1270</v>
      </c>
      <c r="AC35" s="83"/>
      <c r="AD35" s="3"/>
    </row>
    <row r="36" spans="1:30" ht="13.5" thickBot="1">
      <c r="A36" s="117">
        <v>33</v>
      </c>
      <c r="B36" s="16" t="s">
        <v>1269</v>
      </c>
      <c r="C36" s="37"/>
      <c r="D36" s="37" t="str">
        <f>PROPER(units)</f>
        <v>Grams</v>
      </c>
      <c r="E36" s="37"/>
      <c r="F36" s="37"/>
      <c r="G36" s="37"/>
      <c r="H36" s="37"/>
      <c r="I36" s="36" t="s">
        <v>1474</v>
      </c>
      <c r="J36" s="3"/>
      <c r="K36" s="16" t="s">
        <v>1269</v>
      </c>
      <c r="L36" s="37" t="str">
        <f>PROPER(units)</f>
        <v>Grams</v>
      </c>
      <c r="M36" s="36" t="s">
        <v>1474</v>
      </c>
      <c r="N36" s="3"/>
      <c r="O36" s="16" t="s">
        <v>1269</v>
      </c>
      <c r="P36" s="37" t="str">
        <f>PROPER(units)</f>
        <v>Grams</v>
      </c>
      <c r="Q36" s="36" t="s">
        <v>1474</v>
      </c>
      <c r="R36" s="3"/>
      <c r="S36" s="16" t="s">
        <v>1269</v>
      </c>
      <c r="T36" s="37" t="str">
        <f>PROPER(units)</f>
        <v>Grams</v>
      </c>
      <c r="U36" s="36" t="s">
        <v>1474</v>
      </c>
      <c r="V36" s="3"/>
      <c r="W36" s="16" t="s">
        <v>1269</v>
      </c>
      <c r="X36" s="37" t="str">
        <f>PROPER(units)</f>
        <v>Grams</v>
      </c>
      <c r="Y36" s="36" t="s">
        <v>1474</v>
      </c>
      <c r="Z36" s="3"/>
      <c r="AA36" s="16" t="s">
        <v>1269</v>
      </c>
      <c r="AB36" s="37" t="str">
        <f>PROPER(units)</f>
        <v>Grams</v>
      </c>
      <c r="AC36" s="36" t="s">
        <v>1474</v>
      </c>
      <c r="AD36" s="3"/>
    </row>
    <row r="37" spans="1:30">
      <c r="A37" s="117">
        <v>34</v>
      </c>
      <c r="B37" s="45" t="str">
        <f t="shared" ref="B37:B43" ca="1" si="39">INDEX(INDIRECT(Body.db),A37,1)</f>
        <v>* RICE,BROWN,MEDIUM-GRAIN,RAW</v>
      </c>
      <c r="C37" s="104">
        <f t="shared" ref="C37:C43" ca="1" si="40">IF(B37&gt;0,IF(G37-E37&gt;E37-H37,H37,G37),)</f>
        <v>71.25</v>
      </c>
      <c r="D37" s="48">
        <f t="shared" ref="D37:D43" ca="1" si="41">INDEX(INDIRECT(VLOOKUP(Body.type,Body_type,5,FALSE)),A37,2)</f>
        <v>70</v>
      </c>
      <c r="E37" s="104">
        <f t="shared" ref="E37:E43" ca="1" si="42">IF(B37&gt;0,D37*$J$4,)</f>
        <v>63.369807630306298</v>
      </c>
      <c r="F37" s="104">
        <f t="shared" ref="F37:F43" ca="1" si="43">IF(B37&gt;0,VLOOKUP(B37,Food_Database,9,FALSE),)</f>
        <v>23.75</v>
      </c>
      <c r="G37" s="104">
        <f t="shared" ref="G37:G43" ca="1" si="44">IF(B37&gt;0,CEILING(E37,F37),)</f>
        <v>71.25</v>
      </c>
      <c r="H37" s="104">
        <f t="shared" ref="H37:H43" ca="1" si="45">IF(B37&gt;0,FLOOR(E37,F37),)</f>
        <v>47.5</v>
      </c>
      <c r="I37" s="41">
        <f t="shared" ref="I37:I43" ca="1" si="46">IF(B37&gt;0,VLOOKUP(B37,Food_Database,2,FALSE)*C37/convert,)</f>
        <v>257.92500000000001</v>
      </c>
      <c r="J37" s="3"/>
      <c r="K37" s="45" t="s">
        <v>223</v>
      </c>
      <c r="L37" s="194">
        <v>70</v>
      </c>
      <c r="M37" s="41">
        <f t="shared" ref="M37:M43" si="47">IF(K37&gt;0,VLOOKUP(K37,Food_Database,2,FALSE)*L37/convert,)</f>
        <v>253.4</v>
      </c>
      <c r="N37" s="3"/>
      <c r="O37" s="45" t="s">
        <v>223</v>
      </c>
      <c r="P37" s="194">
        <v>45</v>
      </c>
      <c r="Q37" s="41">
        <f t="shared" ref="Q37:Q43" si="48">IF(O37&gt;0,VLOOKUP(O37,Food_Database,2,FALSE)*P37/convert,)</f>
        <v>162.9</v>
      </c>
      <c r="R37" s="3"/>
      <c r="S37" s="45" t="s">
        <v>223</v>
      </c>
      <c r="T37" s="194">
        <v>47.5</v>
      </c>
      <c r="U37" s="41">
        <f t="shared" ref="U37:U43" si="49">IF(S37&gt;0,VLOOKUP(S37,Food_Database,2,FALSE)*T37/convert,)</f>
        <v>171.95</v>
      </c>
      <c r="V37" s="3"/>
      <c r="W37" s="45" t="s">
        <v>223</v>
      </c>
      <c r="X37" s="194">
        <v>60</v>
      </c>
      <c r="Y37" s="41">
        <f t="shared" ref="Y37:Y43" si="50">IF(W37&gt;0,VLOOKUP(W37,Food_Database,2,FALSE)*X37/convert,)</f>
        <v>217.2</v>
      </c>
      <c r="Z37" s="3"/>
      <c r="AA37" s="45" t="s">
        <v>223</v>
      </c>
      <c r="AB37" s="194">
        <v>45</v>
      </c>
      <c r="AC37" s="41">
        <f t="shared" ref="AC37:AC43" si="51">IF(AA37&gt;0,VLOOKUP(AA37,Food_Database,2,FALSE)*AB37/convert,)</f>
        <v>162.9</v>
      </c>
      <c r="AD37" s="3"/>
    </row>
    <row r="38" spans="1:30">
      <c r="A38" s="117">
        <v>35</v>
      </c>
      <c r="B38" s="46" t="str">
        <f t="shared" ca="1" si="39"/>
        <v>* TURKEY BREAST,MEAT ONLY,RAW</v>
      </c>
      <c r="C38" s="105">
        <f t="shared" ca="1" si="40"/>
        <v>170.4</v>
      </c>
      <c r="D38" s="49">
        <f t="shared" ca="1" si="41"/>
        <v>184</v>
      </c>
      <c r="E38" s="105">
        <f t="shared" ca="1" si="42"/>
        <v>166.57206577109085</v>
      </c>
      <c r="F38" s="105">
        <f t="shared" ca="1" si="43"/>
        <v>14.200000000000001</v>
      </c>
      <c r="G38" s="105">
        <f t="shared" ca="1" si="44"/>
        <v>170.4</v>
      </c>
      <c r="H38" s="105">
        <f t="shared" ca="1" si="45"/>
        <v>156.20000000000002</v>
      </c>
      <c r="I38" s="41">
        <f t="shared" ca="1" si="46"/>
        <v>189.14400000000001</v>
      </c>
      <c r="J38" s="3"/>
      <c r="K38" s="46" t="s">
        <v>187</v>
      </c>
      <c r="L38" s="195">
        <v>184</v>
      </c>
      <c r="M38" s="41">
        <f t="shared" si="47"/>
        <v>204.24</v>
      </c>
      <c r="N38" s="3"/>
      <c r="O38" s="46" t="s">
        <v>187</v>
      </c>
      <c r="P38" s="195">
        <v>200</v>
      </c>
      <c r="Q38" s="41">
        <f t="shared" si="48"/>
        <v>222</v>
      </c>
      <c r="R38" s="3"/>
      <c r="S38" s="46" t="s">
        <v>187</v>
      </c>
      <c r="T38" s="195">
        <v>198.8</v>
      </c>
      <c r="U38" s="41">
        <f t="shared" si="49"/>
        <v>220.66800000000003</v>
      </c>
      <c r="V38" s="3"/>
      <c r="W38" s="46" t="s">
        <v>187</v>
      </c>
      <c r="X38" s="195">
        <v>200</v>
      </c>
      <c r="Y38" s="41">
        <f t="shared" si="50"/>
        <v>222</v>
      </c>
      <c r="Z38" s="3"/>
      <c r="AA38" s="46" t="s">
        <v>187</v>
      </c>
      <c r="AB38" s="195">
        <v>213</v>
      </c>
      <c r="AC38" s="41">
        <f t="shared" si="51"/>
        <v>236.43</v>
      </c>
      <c r="AD38" s="3"/>
    </row>
    <row r="39" spans="1:30">
      <c r="A39" s="117">
        <v>36</v>
      </c>
      <c r="B39" s="46" t="str">
        <f t="shared" ca="1" si="39"/>
        <v>CARROTS,RAW</v>
      </c>
      <c r="C39" s="105">
        <f t="shared" ca="1" si="40"/>
        <v>48</v>
      </c>
      <c r="D39" s="49">
        <f t="shared" ca="1" si="41"/>
        <v>60</v>
      </c>
      <c r="E39" s="105">
        <f t="shared" ca="1" si="42"/>
        <v>54.316977968833967</v>
      </c>
      <c r="F39" s="105">
        <f t="shared" ca="1" si="43"/>
        <v>16</v>
      </c>
      <c r="G39" s="105">
        <f t="shared" ca="1" si="44"/>
        <v>64</v>
      </c>
      <c r="H39" s="105">
        <f t="shared" ca="1" si="45"/>
        <v>48</v>
      </c>
      <c r="I39" s="41">
        <f t="shared" ca="1" si="46"/>
        <v>19.68</v>
      </c>
      <c r="J39" s="3"/>
      <c r="K39" s="46" t="s">
        <v>1038</v>
      </c>
      <c r="L39" s="195">
        <v>60</v>
      </c>
      <c r="M39" s="41">
        <f t="shared" si="47"/>
        <v>24.6</v>
      </c>
      <c r="N39" s="3"/>
      <c r="O39" s="46" t="s">
        <v>1038</v>
      </c>
      <c r="P39" s="195">
        <v>60</v>
      </c>
      <c r="Q39" s="41">
        <f t="shared" si="48"/>
        <v>24.6</v>
      </c>
      <c r="R39" s="3"/>
      <c r="S39" s="46" t="s">
        <v>1038</v>
      </c>
      <c r="T39" s="195">
        <v>64</v>
      </c>
      <c r="U39" s="41">
        <f t="shared" si="49"/>
        <v>26.24</v>
      </c>
      <c r="V39" s="3"/>
      <c r="W39" s="46" t="s">
        <v>1038</v>
      </c>
      <c r="X39" s="195">
        <v>60</v>
      </c>
      <c r="Y39" s="41">
        <f t="shared" si="50"/>
        <v>24.6</v>
      </c>
      <c r="Z39" s="3"/>
      <c r="AA39" s="46" t="s">
        <v>1038</v>
      </c>
      <c r="AB39" s="195">
        <v>60</v>
      </c>
      <c r="AC39" s="41">
        <f t="shared" si="51"/>
        <v>24.6</v>
      </c>
      <c r="AD39" s="3"/>
    </row>
    <row r="40" spans="1:30">
      <c r="A40" s="117">
        <v>37</v>
      </c>
      <c r="B40" s="46" t="str">
        <f t="shared" ca="1" si="39"/>
        <v>* OIL,OLIVE</v>
      </c>
      <c r="C40" s="105">
        <f t="shared" ca="1" si="40"/>
        <v>7</v>
      </c>
      <c r="D40" s="49">
        <f t="shared" ca="1" si="41"/>
        <v>7</v>
      </c>
      <c r="E40" s="105">
        <f t="shared" ca="1" si="42"/>
        <v>6.3369807630306294</v>
      </c>
      <c r="F40" s="105">
        <f t="shared" ca="1" si="43"/>
        <v>7</v>
      </c>
      <c r="G40" s="105">
        <f t="shared" ca="1" si="44"/>
        <v>7</v>
      </c>
      <c r="H40" s="105">
        <f t="shared" ca="1" si="45"/>
        <v>0</v>
      </c>
      <c r="I40" s="41">
        <f t="shared" ca="1" si="46"/>
        <v>61.88</v>
      </c>
      <c r="J40" s="3"/>
      <c r="K40" s="46" t="s">
        <v>183</v>
      </c>
      <c r="L40" s="195">
        <v>7</v>
      </c>
      <c r="M40" s="41">
        <f t="shared" si="47"/>
        <v>61.88</v>
      </c>
      <c r="N40" s="3"/>
      <c r="O40" s="46" t="s">
        <v>183</v>
      </c>
      <c r="P40" s="195">
        <v>14</v>
      </c>
      <c r="Q40" s="41">
        <f t="shared" si="48"/>
        <v>123.76</v>
      </c>
      <c r="R40" s="3"/>
      <c r="S40" s="46" t="s">
        <v>183</v>
      </c>
      <c r="T40" s="195">
        <v>17</v>
      </c>
      <c r="U40" s="41">
        <f t="shared" si="49"/>
        <v>150.28</v>
      </c>
      <c r="V40" s="3"/>
      <c r="W40" s="46" t="s">
        <v>183</v>
      </c>
      <c r="X40" s="195">
        <v>14</v>
      </c>
      <c r="Y40" s="41">
        <f t="shared" si="50"/>
        <v>123.76</v>
      </c>
      <c r="Z40" s="3"/>
      <c r="AA40" s="46" t="s">
        <v>183</v>
      </c>
      <c r="AB40" s="195">
        <v>14</v>
      </c>
      <c r="AC40" s="41">
        <f t="shared" si="51"/>
        <v>123.76</v>
      </c>
      <c r="AD40" s="3"/>
    </row>
    <row r="41" spans="1:30">
      <c r="A41" s="117">
        <v>38</v>
      </c>
      <c r="B41" s="46">
        <f t="shared" ca="1" si="39"/>
        <v>0</v>
      </c>
      <c r="C41" s="105">
        <f t="shared" ca="1" si="40"/>
        <v>0</v>
      </c>
      <c r="D41" s="49">
        <f t="shared" ca="1" si="41"/>
        <v>30</v>
      </c>
      <c r="E41" s="105">
        <f t="shared" ca="1" si="42"/>
        <v>0</v>
      </c>
      <c r="F41" s="105">
        <f t="shared" ca="1" si="43"/>
        <v>0</v>
      </c>
      <c r="G41" s="105">
        <f t="shared" ca="1" si="44"/>
        <v>0</v>
      </c>
      <c r="H41" s="105">
        <f t="shared" ca="1" si="45"/>
        <v>0</v>
      </c>
      <c r="I41" s="41">
        <f t="shared" ca="1" si="46"/>
        <v>0</v>
      </c>
      <c r="J41" s="3"/>
      <c r="K41" s="46"/>
      <c r="L41" s="52">
        <v>30</v>
      </c>
      <c r="M41" s="41">
        <f t="shared" si="47"/>
        <v>0</v>
      </c>
      <c r="N41" s="3"/>
      <c r="O41" s="46"/>
      <c r="P41" s="52"/>
      <c r="Q41" s="41">
        <f t="shared" si="48"/>
        <v>0</v>
      </c>
      <c r="R41" s="3"/>
      <c r="S41" s="46"/>
      <c r="T41" s="52"/>
      <c r="U41" s="41">
        <f t="shared" si="49"/>
        <v>0</v>
      </c>
      <c r="V41" s="3"/>
      <c r="W41" s="46"/>
      <c r="X41" s="52"/>
      <c r="Y41" s="41">
        <f t="shared" si="50"/>
        <v>0</v>
      </c>
      <c r="Z41" s="3"/>
      <c r="AA41" s="46"/>
      <c r="AB41" s="52"/>
      <c r="AC41" s="41">
        <f t="shared" si="51"/>
        <v>0</v>
      </c>
      <c r="AD41" s="3"/>
    </row>
    <row r="42" spans="1:30">
      <c r="A42" s="117">
        <v>39</v>
      </c>
      <c r="B42" s="46">
        <f t="shared" ca="1" si="39"/>
        <v>0</v>
      </c>
      <c r="C42" s="105">
        <f t="shared" ca="1" si="40"/>
        <v>0</v>
      </c>
      <c r="D42" s="49">
        <f t="shared" ca="1" si="41"/>
        <v>0</v>
      </c>
      <c r="E42" s="105">
        <f t="shared" ca="1" si="42"/>
        <v>0</v>
      </c>
      <c r="F42" s="105">
        <f t="shared" ca="1" si="43"/>
        <v>0</v>
      </c>
      <c r="G42" s="105">
        <f t="shared" ca="1" si="44"/>
        <v>0</v>
      </c>
      <c r="H42" s="105">
        <f t="shared" ca="1" si="45"/>
        <v>0</v>
      </c>
      <c r="I42" s="41">
        <f t="shared" ca="1" si="46"/>
        <v>0</v>
      </c>
      <c r="J42" s="3"/>
      <c r="K42" s="46"/>
      <c r="L42" s="52"/>
      <c r="M42" s="41">
        <f t="shared" si="47"/>
        <v>0</v>
      </c>
      <c r="N42" s="3"/>
      <c r="O42" s="46"/>
      <c r="P42" s="52"/>
      <c r="Q42" s="41">
        <f t="shared" si="48"/>
        <v>0</v>
      </c>
      <c r="R42" s="3"/>
      <c r="S42" s="46"/>
      <c r="T42" s="52"/>
      <c r="U42" s="41">
        <f t="shared" si="49"/>
        <v>0</v>
      </c>
      <c r="V42" s="3"/>
      <c r="W42" s="46"/>
      <c r="X42" s="52"/>
      <c r="Y42" s="41">
        <f t="shared" si="50"/>
        <v>0</v>
      </c>
      <c r="Z42" s="3"/>
      <c r="AA42" s="46"/>
      <c r="AB42" s="52"/>
      <c r="AC42" s="41">
        <f t="shared" si="51"/>
        <v>0</v>
      </c>
      <c r="AD42" s="3"/>
    </row>
    <row r="43" spans="1:30" ht="13.5" thickBot="1">
      <c r="A43" s="117">
        <v>40</v>
      </c>
      <c r="B43" s="47">
        <f t="shared" ca="1" si="39"/>
        <v>0</v>
      </c>
      <c r="C43" s="106">
        <f t="shared" ca="1" si="40"/>
        <v>0</v>
      </c>
      <c r="D43" s="50">
        <f t="shared" ca="1" si="41"/>
        <v>0</v>
      </c>
      <c r="E43" s="106">
        <f t="shared" ca="1" si="42"/>
        <v>0</v>
      </c>
      <c r="F43" s="106">
        <f t="shared" ca="1" si="43"/>
        <v>0</v>
      </c>
      <c r="G43" s="106">
        <f t="shared" ca="1" si="44"/>
        <v>0</v>
      </c>
      <c r="H43" s="106">
        <f t="shared" ca="1" si="45"/>
        <v>0</v>
      </c>
      <c r="I43" s="44">
        <f t="shared" ca="1" si="46"/>
        <v>0</v>
      </c>
      <c r="J43" s="3"/>
      <c r="K43" s="47"/>
      <c r="L43" s="53"/>
      <c r="M43" s="44">
        <f t="shared" si="47"/>
        <v>0</v>
      </c>
      <c r="N43" s="3"/>
      <c r="O43" s="47"/>
      <c r="P43" s="53"/>
      <c r="Q43" s="44">
        <f t="shared" si="48"/>
        <v>0</v>
      </c>
      <c r="R43" s="3"/>
      <c r="S43" s="47"/>
      <c r="T43" s="53"/>
      <c r="U43" s="44">
        <f t="shared" si="49"/>
        <v>0</v>
      </c>
      <c r="V43" s="3"/>
      <c r="W43" s="47"/>
      <c r="X43" s="53"/>
      <c r="Y43" s="44">
        <f t="shared" si="50"/>
        <v>0</v>
      </c>
      <c r="Z43" s="3"/>
      <c r="AA43" s="47"/>
      <c r="AB43" s="53"/>
      <c r="AC43" s="44">
        <f t="shared" si="51"/>
        <v>0</v>
      </c>
      <c r="AD43" s="3"/>
    </row>
    <row r="44" spans="1:30" ht="13.5" thickBot="1">
      <c r="A44" s="117">
        <v>41</v>
      </c>
      <c r="B44" s="77" t="s">
        <v>268</v>
      </c>
      <c r="C44" s="3"/>
      <c r="D44" s="3"/>
      <c r="E44" s="3"/>
      <c r="F44" s="3"/>
      <c r="G44" s="3"/>
      <c r="H44" s="3"/>
      <c r="I44" s="3"/>
      <c r="J44" s="3"/>
      <c r="K44" s="77" t="s">
        <v>268</v>
      </c>
      <c r="L44" s="3"/>
      <c r="M44" s="3"/>
      <c r="N44" s="3"/>
      <c r="O44" s="77" t="s">
        <v>268</v>
      </c>
      <c r="P44" s="3"/>
      <c r="Q44" s="3"/>
      <c r="R44" s="3"/>
      <c r="S44" s="77" t="s">
        <v>268</v>
      </c>
      <c r="T44" s="3"/>
      <c r="U44" s="3"/>
      <c r="V44" s="3"/>
      <c r="W44" s="77" t="s">
        <v>268</v>
      </c>
      <c r="X44" s="3"/>
      <c r="Y44" s="3"/>
      <c r="Z44" s="3"/>
      <c r="AA44" s="77" t="s">
        <v>268</v>
      </c>
      <c r="AB44" s="3"/>
      <c r="AC44" s="3"/>
      <c r="AD44" s="3"/>
    </row>
    <row r="45" spans="1:30" ht="14.25" thickTop="1" thickBot="1">
      <c r="A45" s="117">
        <v>42</v>
      </c>
      <c r="B45" s="114"/>
      <c r="C45" s="79"/>
      <c r="D45" s="79" t="s">
        <v>1271</v>
      </c>
      <c r="E45" s="79"/>
      <c r="F45" s="79"/>
      <c r="G45" s="79"/>
      <c r="H45" s="79"/>
      <c r="I45" s="81">
        <f ca="1">SUM(I48:I54)</f>
        <v>585.91</v>
      </c>
      <c r="J45" s="3"/>
      <c r="K45" s="114"/>
      <c r="L45" s="79" t="s">
        <v>1271</v>
      </c>
      <c r="M45" s="81">
        <f>SUM(M48:M54)</f>
        <v>584.48</v>
      </c>
      <c r="N45" s="3"/>
      <c r="O45" s="114"/>
      <c r="P45" s="79" t="s">
        <v>1271</v>
      </c>
      <c r="Q45" s="81">
        <f>SUM(Q48:Q54)</f>
        <v>555.1</v>
      </c>
      <c r="R45" s="3"/>
      <c r="S45" s="114"/>
      <c r="T45" s="79" t="s">
        <v>1271</v>
      </c>
      <c r="U45" s="81">
        <f>SUM(U48:U54)</f>
        <v>590.46</v>
      </c>
      <c r="V45" s="3"/>
      <c r="W45" s="114"/>
      <c r="X45" s="79" t="s">
        <v>1271</v>
      </c>
      <c r="Y45" s="81">
        <f>SUM(Y48:Y54)</f>
        <v>590.46</v>
      </c>
      <c r="Z45" s="3"/>
      <c r="AA45" s="114"/>
      <c r="AB45" s="79" t="s">
        <v>1271</v>
      </c>
      <c r="AC45" s="81">
        <f>SUM(AC48:AC54)</f>
        <v>562.79999999999995</v>
      </c>
      <c r="AD45" s="3"/>
    </row>
    <row r="46" spans="1:30" ht="13.5" thickBot="1">
      <c r="A46" s="117">
        <v>43</v>
      </c>
      <c r="B46" s="82" t="s">
        <v>1484</v>
      </c>
      <c r="C46" s="83"/>
      <c r="D46" s="83" t="s">
        <v>1270</v>
      </c>
      <c r="E46" s="83"/>
      <c r="F46" s="83"/>
      <c r="G46" s="83"/>
      <c r="H46" s="83"/>
      <c r="I46" s="83"/>
      <c r="J46" s="3"/>
      <c r="K46" s="82" t="s">
        <v>1484</v>
      </c>
      <c r="L46" s="83" t="s">
        <v>1270</v>
      </c>
      <c r="M46" s="83"/>
      <c r="N46" s="3"/>
      <c r="O46" s="82" t="s">
        <v>1484</v>
      </c>
      <c r="P46" s="83" t="s">
        <v>1270</v>
      </c>
      <c r="Q46" s="83"/>
      <c r="R46" s="3"/>
      <c r="S46" s="82" t="s">
        <v>1484</v>
      </c>
      <c r="T46" s="83" t="s">
        <v>1270</v>
      </c>
      <c r="U46" s="83"/>
      <c r="V46" s="3"/>
      <c r="W46" s="82" t="s">
        <v>1484</v>
      </c>
      <c r="X46" s="83" t="s">
        <v>1270</v>
      </c>
      <c r="Y46" s="83"/>
      <c r="Z46" s="3"/>
      <c r="AA46" s="82" t="s">
        <v>1484</v>
      </c>
      <c r="AB46" s="83" t="s">
        <v>1270</v>
      </c>
      <c r="AC46" s="83"/>
      <c r="AD46" s="3"/>
    </row>
    <row r="47" spans="1:30" ht="13.5" thickBot="1">
      <c r="A47" s="117">
        <v>44</v>
      </c>
      <c r="B47" s="16" t="s">
        <v>1269</v>
      </c>
      <c r="C47" s="37"/>
      <c r="D47" s="37" t="str">
        <f>PROPER(units)</f>
        <v>Grams</v>
      </c>
      <c r="E47" s="37"/>
      <c r="F47" s="37"/>
      <c r="G47" s="37"/>
      <c r="H47" s="37"/>
      <c r="I47" s="36" t="s">
        <v>1474</v>
      </c>
      <c r="J47" s="3"/>
      <c r="K47" s="16" t="s">
        <v>1269</v>
      </c>
      <c r="L47" s="37" t="str">
        <f>PROPER(units)</f>
        <v>Grams</v>
      </c>
      <c r="M47" s="36" t="s">
        <v>1474</v>
      </c>
      <c r="N47" s="3"/>
      <c r="O47" s="16" t="s">
        <v>1269</v>
      </c>
      <c r="P47" s="37" t="str">
        <f>PROPER(units)</f>
        <v>Grams</v>
      </c>
      <c r="Q47" s="36" t="s">
        <v>1474</v>
      </c>
      <c r="R47" s="3"/>
      <c r="S47" s="16" t="s">
        <v>1269</v>
      </c>
      <c r="T47" s="37" t="str">
        <f>PROPER(units)</f>
        <v>Grams</v>
      </c>
      <c r="U47" s="36" t="s">
        <v>1474</v>
      </c>
      <c r="V47" s="3"/>
      <c r="W47" s="16" t="s">
        <v>1269</v>
      </c>
      <c r="X47" s="37" t="str">
        <f>PROPER(units)</f>
        <v>Grams</v>
      </c>
      <c r="Y47" s="36" t="s">
        <v>1474</v>
      </c>
      <c r="Z47" s="3"/>
      <c r="AA47" s="16" t="s">
        <v>1269</v>
      </c>
      <c r="AB47" s="37" t="str">
        <f>PROPER(units)</f>
        <v>Grams</v>
      </c>
      <c r="AC47" s="36" t="s">
        <v>1474</v>
      </c>
      <c r="AD47" s="3"/>
    </row>
    <row r="48" spans="1:30">
      <c r="A48" s="117">
        <v>45</v>
      </c>
      <c r="B48" s="45" t="str">
        <f t="shared" ref="B48:B54" ca="1" si="52">INDEX(INDIRECT(Body.db),A48,1)</f>
        <v>* CHICKEN BREAST,NO SKIN,RAW</v>
      </c>
      <c r="C48" s="104">
        <f t="shared" ref="C48:C54" ca="1" si="53">IF(B48&gt;0,IF(G48-E48&gt;E48-H48,H48,G48),)</f>
        <v>198.8</v>
      </c>
      <c r="D48" s="48">
        <f t="shared" ref="D48:D54" ca="1" si="54">INDEX(INDIRECT(VLOOKUP(Body.type,Body_type,5,FALSE)),A48,2)</f>
        <v>220</v>
      </c>
      <c r="E48" s="104">
        <f t="shared" ref="E48:E54" ca="1" si="55">IF(B48&gt;0,D48*$J$4,)</f>
        <v>199.16225255239121</v>
      </c>
      <c r="F48" s="104">
        <f t="shared" ref="F48:F54" ca="1" si="56">IF(B48&gt;0,VLOOKUP(B48,Food_Database,9,FALSE),)</f>
        <v>14.200000000000001</v>
      </c>
      <c r="G48" s="104">
        <f t="shared" ref="G48:G54" ca="1" si="57">IF(B48&gt;0,CEILING(E48,F48),)</f>
        <v>213.00000000000003</v>
      </c>
      <c r="H48" s="104">
        <f t="shared" ref="H48:H54" ca="1" si="58">IF(B48&gt;0,FLOOR(E48,F48),)</f>
        <v>198.8</v>
      </c>
      <c r="I48" s="41">
        <f t="shared" ref="I48:I54" ca="1" si="59">IF(B48&gt;0,VLOOKUP(B48,Food_Database,2,FALSE)*C48/convert,)</f>
        <v>218.68</v>
      </c>
      <c r="J48" s="3"/>
      <c r="K48" s="45" t="s">
        <v>407</v>
      </c>
      <c r="L48" s="51">
        <v>220</v>
      </c>
      <c r="M48" s="41">
        <f t="shared" ref="M48:M54" si="60">IF(K48&gt;0,VLOOKUP(K48,Food_Database,2,FALSE)*L48/convert,)</f>
        <v>242</v>
      </c>
      <c r="N48" s="3"/>
      <c r="O48" s="45" t="s">
        <v>407</v>
      </c>
      <c r="P48" s="51">
        <v>220</v>
      </c>
      <c r="Q48" s="41">
        <f t="shared" ref="Q48:Q54" si="61">IF(O48&gt;0,VLOOKUP(O48,Food_Database,2,FALSE)*P48/convert,)</f>
        <v>242</v>
      </c>
      <c r="R48" s="3"/>
      <c r="S48" s="45" t="s">
        <v>407</v>
      </c>
      <c r="T48" s="51">
        <v>220</v>
      </c>
      <c r="U48" s="41">
        <f t="shared" ref="U48:U54" si="62">IF(S48&gt;0,VLOOKUP(S48,Food_Database,2,FALSE)*T48/convert,)</f>
        <v>242</v>
      </c>
      <c r="V48" s="3"/>
      <c r="W48" s="45" t="s">
        <v>407</v>
      </c>
      <c r="X48" s="51">
        <v>220</v>
      </c>
      <c r="Y48" s="41">
        <f t="shared" ref="Y48:Y54" si="63">IF(W48&gt;0,VLOOKUP(W48,Food_Database,2,FALSE)*X48/convert,)</f>
        <v>242</v>
      </c>
      <c r="Z48" s="3"/>
      <c r="AA48" s="45" t="s">
        <v>407</v>
      </c>
      <c r="AB48" s="51">
        <v>227</v>
      </c>
      <c r="AC48" s="41">
        <f t="shared" ref="AC48:AC54" si="64">IF(AA48&gt;0,VLOOKUP(AA48,Food_Database,2,FALSE)*AB48/convert,)</f>
        <v>249.7</v>
      </c>
      <c r="AD48" s="3"/>
    </row>
    <row r="49" spans="1:30">
      <c r="A49" s="117">
        <v>46</v>
      </c>
      <c r="B49" s="46" t="str">
        <f t="shared" ca="1" si="52"/>
        <v>* SWEET POTATO,RAW</v>
      </c>
      <c r="C49" s="105">
        <f t="shared" ca="1" si="53"/>
        <v>130</v>
      </c>
      <c r="D49" s="49">
        <f t="shared" ca="1" si="54"/>
        <v>130</v>
      </c>
      <c r="E49" s="105">
        <f t="shared" ca="1" si="55"/>
        <v>117.68678559914026</v>
      </c>
      <c r="F49" s="105">
        <f t="shared" ca="1" si="56"/>
        <v>32.5</v>
      </c>
      <c r="G49" s="105">
        <f t="shared" ca="1" si="57"/>
        <v>130</v>
      </c>
      <c r="H49" s="105">
        <f t="shared" ca="1" si="58"/>
        <v>97.5</v>
      </c>
      <c r="I49" s="41">
        <f t="shared" ca="1" si="59"/>
        <v>111.8</v>
      </c>
      <c r="J49" s="3"/>
      <c r="K49" s="46" t="s">
        <v>248</v>
      </c>
      <c r="L49" s="52">
        <v>130</v>
      </c>
      <c r="M49" s="41">
        <f t="shared" si="60"/>
        <v>111.8</v>
      </c>
      <c r="N49" s="3"/>
      <c r="O49" s="46" t="s">
        <v>248</v>
      </c>
      <c r="P49" s="52">
        <v>65</v>
      </c>
      <c r="Q49" s="41">
        <f t="shared" si="61"/>
        <v>55.9</v>
      </c>
      <c r="R49" s="3"/>
      <c r="S49" s="46" t="s">
        <v>248</v>
      </c>
      <c r="T49" s="52">
        <v>65</v>
      </c>
      <c r="U49" s="41">
        <f t="shared" si="62"/>
        <v>55.9</v>
      </c>
      <c r="V49" s="3"/>
      <c r="W49" s="46" t="s">
        <v>248</v>
      </c>
      <c r="X49" s="52">
        <v>65</v>
      </c>
      <c r="Y49" s="41">
        <f t="shared" si="63"/>
        <v>55.9</v>
      </c>
      <c r="Z49" s="3"/>
      <c r="AA49" s="46" t="s">
        <v>248</v>
      </c>
      <c r="AB49" s="52">
        <v>65</v>
      </c>
      <c r="AC49" s="41">
        <f t="shared" si="64"/>
        <v>55.9</v>
      </c>
      <c r="AD49" s="3"/>
    </row>
    <row r="50" spans="1:30">
      <c r="A50" s="117">
        <v>47</v>
      </c>
      <c r="B50" s="46" t="str">
        <f t="shared" ca="1" si="52"/>
        <v>* ASPARAGUS,RAW</v>
      </c>
      <c r="C50" s="105">
        <f t="shared" ca="1" si="53"/>
        <v>108</v>
      </c>
      <c r="D50" s="49">
        <f t="shared" ca="1" si="54"/>
        <v>120</v>
      </c>
      <c r="E50" s="105">
        <f t="shared" ca="1" si="55"/>
        <v>108.63395593766793</v>
      </c>
      <c r="F50" s="105">
        <f t="shared" ca="1" si="56"/>
        <v>6</v>
      </c>
      <c r="G50" s="105">
        <f t="shared" ca="1" si="57"/>
        <v>114</v>
      </c>
      <c r="H50" s="105">
        <f t="shared" ca="1" si="58"/>
        <v>108</v>
      </c>
      <c r="I50" s="41">
        <f t="shared" ca="1" si="59"/>
        <v>21.6</v>
      </c>
      <c r="J50" s="3"/>
      <c r="K50" s="46" t="s">
        <v>237</v>
      </c>
      <c r="L50" s="52">
        <v>120</v>
      </c>
      <c r="M50" s="41">
        <f t="shared" si="60"/>
        <v>24</v>
      </c>
      <c r="N50" s="3"/>
      <c r="O50" s="46" t="s">
        <v>237</v>
      </c>
      <c r="P50" s="52">
        <v>120</v>
      </c>
      <c r="Q50" s="41">
        <f t="shared" si="61"/>
        <v>24</v>
      </c>
      <c r="R50" s="3"/>
      <c r="S50" s="46" t="s">
        <v>237</v>
      </c>
      <c r="T50" s="52">
        <v>120</v>
      </c>
      <c r="U50" s="41">
        <f t="shared" si="62"/>
        <v>24</v>
      </c>
      <c r="V50" s="3"/>
      <c r="W50" s="46" t="s">
        <v>237</v>
      </c>
      <c r="X50" s="52">
        <v>120</v>
      </c>
      <c r="Y50" s="41">
        <f t="shared" si="63"/>
        <v>24</v>
      </c>
      <c r="Z50" s="3"/>
      <c r="AA50" s="46" t="s">
        <v>237</v>
      </c>
      <c r="AB50" s="52">
        <v>120</v>
      </c>
      <c r="AC50" s="41">
        <f t="shared" si="64"/>
        <v>24</v>
      </c>
      <c r="AD50" s="3"/>
    </row>
    <row r="51" spans="1:30">
      <c r="A51" s="117">
        <v>48</v>
      </c>
      <c r="B51" s="46" t="str">
        <f t="shared" ca="1" si="52"/>
        <v>* RICE,BROWN,MEDIUM-GRAIN,RAW</v>
      </c>
      <c r="C51" s="105">
        <f t="shared" ca="1" si="53"/>
        <v>47.5</v>
      </c>
      <c r="D51" s="49">
        <f t="shared" ca="1" si="54"/>
        <v>40</v>
      </c>
      <c r="E51" s="105">
        <f t="shared" ca="1" si="55"/>
        <v>36.211318645889314</v>
      </c>
      <c r="F51" s="105">
        <f t="shared" ca="1" si="56"/>
        <v>23.75</v>
      </c>
      <c r="G51" s="105">
        <f t="shared" ca="1" si="57"/>
        <v>47.5</v>
      </c>
      <c r="H51" s="105">
        <f t="shared" ca="1" si="58"/>
        <v>23.75</v>
      </c>
      <c r="I51" s="41">
        <f t="shared" ca="1" si="59"/>
        <v>171.95</v>
      </c>
      <c r="J51" s="3"/>
      <c r="K51" s="46" t="s">
        <v>223</v>
      </c>
      <c r="L51" s="52">
        <v>40</v>
      </c>
      <c r="M51" s="41">
        <f t="shared" si="60"/>
        <v>144.80000000000001</v>
      </c>
      <c r="N51" s="3"/>
      <c r="O51" s="46" t="s">
        <v>223</v>
      </c>
      <c r="P51" s="52">
        <v>40</v>
      </c>
      <c r="Q51" s="41">
        <f t="shared" si="61"/>
        <v>144.80000000000001</v>
      </c>
      <c r="R51" s="3"/>
      <c r="S51" s="46" t="s">
        <v>223</v>
      </c>
      <c r="T51" s="52">
        <v>40</v>
      </c>
      <c r="U51" s="41">
        <f t="shared" si="62"/>
        <v>144.80000000000001</v>
      </c>
      <c r="V51" s="3"/>
      <c r="W51" s="46" t="s">
        <v>223</v>
      </c>
      <c r="X51" s="52">
        <v>40</v>
      </c>
      <c r="Y51" s="41">
        <f t="shared" si="63"/>
        <v>144.80000000000001</v>
      </c>
      <c r="Z51" s="3"/>
      <c r="AA51" s="46" t="s">
        <v>223</v>
      </c>
      <c r="AB51" s="52">
        <v>40</v>
      </c>
      <c r="AC51" s="41">
        <f t="shared" si="64"/>
        <v>144.80000000000001</v>
      </c>
      <c r="AD51" s="3"/>
    </row>
    <row r="52" spans="1:30">
      <c r="A52" s="117">
        <v>49</v>
      </c>
      <c r="B52" s="46" t="str">
        <f t="shared" ca="1" si="52"/>
        <v>* OIL,OLIVE</v>
      </c>
      <c r="C52" s="105">
        <f t="shared" ca="1" si="53"/>
        <v>7</v>
      </c>
      <c r="D52" s="49">
        <f t="shared" ca="1" si="54"/>
        <v>7</v>
      </c>
      <c r="E52" s="105">
        <f t="shared" ca="1" si="55"/>
        <v>6.3369807630306294</v>
      </c>
      <c r="F52" s="105">
        <f t="shared" ca="1" si="56"/>
        <v>7</v>
      </c>
      <c r="G52" s="105">
        <f t="shared" ca="1" si="57"/>
        <v>7</v>
      </c>
      <c r="H52" s="105">
        <f t="shared" ca="1" si="58"/>
        <v>0</v>
      </c>
      <c r="I52" s="41">
        <f t="shared" ca="1" si="59"/>
        <v>61.88</v>
      </c>
      <c r="J52" s="3"/>
      <c r="K52" s="46" t="s">
        <v>183</v>
      </c>
      <c r="L52" s="195">
        <v>7</v>
      </c>
      <c r="M52" s="41">
        <f t="shared" si="60"/>
        <v>61.88</v>
      </c>
      <c r="N52" s="3"/>
      <c r="O52" s="46" t="s">
        <v>183</v>
      </c>
      <c r="P52" s="195">
        <v>10</v>
      </c>
      <c r="Q52" s="41">
        <f t="shared" si="61"/>
        <v>88.4</v>
      </c>
      <c r="R52" s="3"/>
      <c r="S52" s="46" t="s">
        <v>183</v>
      </c>
      <c r="T52" s="195">
        <v>14</v>
      </c>
      <c r="U52" s="41">
        <f t="shared" si="62"/>
        <v>123.76</v>
      </c>
      <c r="V52" s="3"/>
      <c r="W52" s="46" t="s">
        <v>183</v>
      </c>
      <c r="X52" s="195">
        <v>14</v>
      </c>
      <c r="Y52" s="41">
        <f t="shared" si="63"/>
        <v>123.76</v>
      </c>
      <c r="Z52" s="3"/>
      <c r="AA52" s="46" t="s">
        <v>183</v>
      </c>
      <c r="AB52" s="195">
        <v>10</v>
      </c>
      <c r="AC52" s="41">
        <f t="shared" si="64"/>
        <v>88.4</v>
      </c>
      <c r="AD52" s="3"/>
    </row>
    <row r="53" spans="1:30">
      <c r="A53" s="117">
        <v>50</v>
      </c>
      <c r="B53" s="46">
        <f t="shared" ca="1" si="52"/>
        <v>0</v>
      </c>
      <c r="C53" s="105">
        <f t="shared" ca="1" si="53"/>
        <v>0</v>
      </c>
      <c r="D53" s="49">
        <f t="shared" ca="1" si="54"/>
        <v>0</v>
      </c>
      <c r="E53" s="105">
        <f t="shared" ca="1" si="55"/>
        <v>0</v>
      </c>
      <c r="F53" s="105">
        <f t="shared" ca="1" si="56"/>
        <v>0</v>
      </c>
      <c r="G53" s="105">
        <f t="shared" ca="1" si="57"/>
        <v>0</v>
      </c>
      <c r="H53" s="105">
        <f t="shared" ca="1" si="58"/>
        <v>0</v>
      </c>
      <c r="I53" s="41">
        <f t="shared" ca="1" si="59"/>
        <v>0</v>
      </c>
      <c r="J53" s="3"/>
      <c r="K53" s="46"/>
      <c r="L53" s="52"/>
      <c r="M53" s="41">
        <f t="shared" si="60"/>
        <v>0</v>
      </c>
      <c r="N53" s="3"/>
      <c r="O53" s="46"/>
      <c r="P53" s="52"/>
      <c r="Q53" s="41">
        <f t="shared" si="61"/>
        <v>0</v>
      </c>
      <c r="R53" s="3"/>
      <c r="S53" s="46"/>
      <c r="T53" s="52"/>
      <c r="U53" s="41">
        <f t="shared" si="62"/>
        <v>0</v>
      </c>
      <c r="V53" s="3"/>
      <c r="W53" s="46"/>
      <c r="X53" s="52"/>
      <c r="Y53" s="41">
        <f t="shared" si="63"/>
        <v>0</v>
      </c>
      <c r="Z53" s="3"/>
      <c r="AA53" s="46"/>
      <c r="AB53" s="52"/>
      <c r="AC53" s="41">
        <f t="shared" si="64"/>
        <v>0</v>
      </c>
      <c r="AD53" s="3"/>
    </row>
    <row r="54" spans="1:30" ht="13.5" thickBot="1">
      <c r="A54" s="117">
        <v>51</v>
      </c>
      <c r="B54" s="47">
        <f t="shared" ca="1" si="52"/>
        <v>0</v>
      </c>
      <c r="C54" s="106">
        <f t="shared" ca="1" si="53"/>
        <v>0</v>
      </c>
      <c r="D54" s="50">
        <f t="shared" ca="1" si="54"/>
        <v>0</v>
      </c>
      <c r="E54" s="106">
        <f t="shared" ca="1" si="55"/>
        <v>0</v>
      </c>
      <c r="F54" s="106">
        <f t="shared" ca="1" si="56"/>
        <v>0</v>
      </c>
      <c r="G54" s="106">
        <f t="shared" ca="1" si="57"/>
        <v>0</v>
      </c>
      <c r="H54" s="106">
        <f t="shared" ca="1" si="58"/>
        <v>0</v>
      </c>
      <c r="I54" s="44">
        <f t="shared" ca="1" si="59"/>
        <v>0</v>
      </c>
      <c r="J54" s="3"/>
      <c r="K54" s="47"/>
      <c r="L54" s="53"/>
      <c r="M54" s="44">
        <f t="shared" si="60"/>
        <v>0</v>
      </c>
      <c r="N54" s="3"/>
      <c r="O54" s="47"/>
      <c r="P54" s="53"/>
      <c r="Q54" s="44">
        <f t="shared" si="61"/>
        <v>0</v>
      </c>
      <c r="R54" s="3"/>
      <c r="S54" s="47"/>
      <c r="T54" s="53"/>
      <c r="U54" s="44">
        <f t="shared" si="62"/>
        <v>0</v>
      </c>
      <c r="V54" s="3"/>
      <c r="W54" s="47"/>
      <c r="X54" s="53"/>
      <c r="Y54" s="44">
        <f t="shared" si="63"/>
        <v>0</v>
      </c>
      <c r="Z54" s="3"/>
      <c r="AA54" s="47"/>
      <c r="AB54" s="53"/>
      <c r="AC54" s="44">
        <f t="shared" si="64"/>
        <v>0</v>
      </c>
      <c r="AD54" s="3"/>
    </row>
    <row r="55" spans="1:30" ht="13.5" thickBot="1">
      <c r="A55" s="117">
        <v>52</v>
      </c>
      <c r="B55" s="77" t="s">
        <v>268</v>
      </c>
      <c r="C55" s="3"/>
      <c r="D55" s="3"/>
      <c r="E55" s="3"/>
      <c r="F55" s="3"/>
      <c r="G55" s="3"/>
      <c r="H55" s="3"/>
      <c r="I55" s="3"/>
      <c r="J55" s="3"/>
      <c r="K55" s="77" t="s">
        <v>268</v>
      </c>
      <c r="L55" s="3"/>
      <c r="M55" s="3"/>
      <c r="N55" s="3"/>
      <c r="O55" s="77" t="s">
        <v>268</v>
      </c>
      <c r="P55" s="3"/>
      <c r="Q55" s="3"/>
      <c r="R55" s="3"/>
      <c r="S55" s="77" t="s">
        <v>268</v>
      </c>
      <c r="T55" s="3"/>
      <c r="U55" s="3"/>
      <c r="V55" s="3"/>
      <c r="W55" s="77" t="s">
        <v>268</v>
      </c>
      <c r="X55" s="3"/>
      <c r="Y55" s="3"/>
      <c r="Z55" s="3"/>
      <c r="AA55" s="77" t="s">
        <v>268</v>
      </c>
      <c r="AB55" s="3"/>
      <c r="AC55" s="3"/>
      <c r="AD55" s="3"/>
    </row>
    <row r="56" spans="1:30" ht="14.25" thickTop="1" thickBot="1">
      <c r="A56" s="117">
        <v>53</v>
      </c>
      <c r="B56" s="78"/>
      <c r="C56" s="79"/>
      <c r="D56" s="79" t="s">
        <v>1271</v>
      </c>
      <c r="E56" s="79"/>
      <c r="F56" s="79"/>
      <c r="G56" s="79"/>
      <c r="H56" s="79"/>
      <c r="I56" s="81">
        <f ca="1">SUM(I59:I65)</f>
        <v>577.71</v>
      </c>
      <c r="J56" s="3"/>
      <c r="K56" s="78"/>
      <c r="L56" s="79" t="s">
        <v>1271</v>
      </c>
      <c r="M56" s="81">
        <f>SUM(M59:M65)</f>
        <v>628.36</v>
      </c>
      <c r="N56" s="3"/>
      <c r="O56" s="78"/>
      <c r="P56" s="79" t="s">
        <v>1271</v>
      </c>
      <c r="Q56" s="81">
        <f>SUM(Q59:Q65)</f>
        <v>755.40000000000009</v>
      </c>
      <c r="R56" s="3"/>
      <c r="S56" s="78"/>
      <c r="T56" s="79" t="s">
        <v>1271</v>
      </c>
      <c r="U56" s="81">
        <f>SUM(U59:U65)</f>
        <v>130</v>
      </c>
      <c r="V56" s="3"/>
      <c r="W56" s="78"/>
      <c r="X56" s="79" t="s">
        <v>1271</v>
      </c>
      <c r="Y56" s="81">
        <f>SUM(Y59:Y65)</f>
        <v>130</v>
      </c>
      <c r="Z56" s="3"/>
      <c r="AA56" s="78"/>
      <c r="AB56" s="79" t="s">
        <v>1271</v>
      </c>
      <c r="AC56" s="81">
        <f>SUM(AC59:AC65)</f>
        <v>573.76</v>
      </c>
      <c r="AD56" s="3"/>
    </row>
    <row r="57" spans="1:30" ht="13.5" thickBot="1">
      <c r="A57" s="117">
        <v>54</v>
      </c>
      <c r="B57" s="82" t="s">
        <v>202</v>
      </c>
      <c r="C57" s="83"/>
      <c r="D57" s="83" t="s">
        <v>1270</v>
      </c>
      <c r="E57" s="83"/>
      <c r="F57" s="83"/>
      <c r="G57" s="83"/>
      <c r="H57" s="83"/>
      <c r="I57" s="83"/>
      <c r="J57" s="3"/>
      <c r="K57" s="82" t="s">
        <v>1481</v>
      </c>
      <c r="L57" s="83" t="s">
        <v>1270</v>
      </c>
      <c r="M57" s="83"/>
      <c r="N57" s="3"/>
      <c r="O57" s="82" t="s">
        <v>1481</v>
      </c>
      <c r="P57" s="83" t="s">
        <v>1270</v>
      </c>
      <c r="Q57" s="83"/>
      <c r="R57" s="3"/>
      <c r="S57" s="82" t="s">
        <v>1481</v>
      </c>
      <c r="T57" s="83" t="s">
        <v>1270</v>
      </c>
      <c r="U57" s="83"/>
      <c r="V57" s="3"/>
      <c r="W57" s="82" t="s">
        <v>1481</v>
      </c>
      <c r="X57" s="83" t="s">
        <v>1270</v>
      </c>
      <c r="Y57" s="83"/>
      <c r="Z57" s="3"/>
      <c r="AA57" s="82" t="s">
        <v>1481</v>
      </c>
      <c r="AB57" s="83" t="s">
        <v>1270</v>
      </c>
      <c r="AC57" s="83"/>
      <c r="AD57" s="3"/>
    </row>
    <row r="58" spans="1:30" ht="13.5" thickBot="1">
      <c r="A58" s="117">
        <v>55</v>
      </c>
      <c r="B58" s="16" t="s">
        <v>1269</v>
      </c>
      <c r="C58" s="37"/>
      <c r="D58" s="37" t="str">
        <f>PROPER(units)</f>
        <v>Grams</v>
      </c>
      <c r="E58" s="37"/>
      <c r="F58" s="37"/>
      <c r="G58" s="37"/>
      <c r="H58" s="37"/>
      <c r="I58" s="36" t="s">
        <v>1474</v>
      </c>
      <c r="J58" s="3"/>
      <c r="K58" s="16" t="s">
        <v>1269</v>
      </c>
      <c r="L58" s="37" t="str">
        <f>PROPER(units)</f>
        <v>Grams</v>
      </c>
      <c r="M58" s="36" t="s">
        <v>1474</v>
      </c>
      <c r="N58" s="3"/>
      <c r="O58" s="16" t="s">
        <v>1269</v>
      </c>
      <c r="P58" s="37" t="str">
        <f>PROPER(units)</f>
        <v>Grams</v>
      </c>
      <c r="Q58" s="36" t="s">
        <v>1474</v>
      </c>
      <c r="R58" s="3"/>
      <c r="S58" s="16" t="s">
        <v>1269</v>
      </c>
      <c r="T58" s="37" t="str">
        <f>PROPER(units)</f>
        <v>Grams</v>
      </c>
      <c r="U58" s="36" t="s">
        <v>1474</v>
      </c>
      <c r="V58" s="3"/>
      <c r="W58" s="16" t="s">
        <v>1269</v>
      </c>
      <c r="X58" s="37" t="str">
        <f>PROPER(units)</f>
        <v>Grams</v>
      </c>
      <c r="Y58" s="36" t="s">
        <v>1474</v>
      </c>
      <c r="Z58" s="3"/>
      <c r="AA58" s="16" t="s">
        <v>1269</v>
      </c>
      <c r="AB58" s="37" t="str">
        <f>PROPER(units)</f>
        <v>Grams</v>
      </c>
      <c r="AC58" s="36" t="s">
        <v>1474</v>
      </c>
      <c r="AD58" s="3"/>
    </row>
    <row r="59" spans="1:30">
      <c r="A59" s="117">
        <v>56</v>
      </c>
      <c r="B59" s="45" t="str">
        <f t="shared" ref="B59:B65" ca="1" si="65">INDEX(INDIRECT(Body.db),A59,1)</f>
        <v xml:space="preserve">* CHEESE,COTTAGE,LOWFAT,1% </v>
      </c>
      <c r="C59" s="104">
        <f t="shared" ref="C59:C65" ca="1" si="66">IF(B59&gt;0,IF(G59-E59&gt;E59-H59,H59,G59),)</f>
        <v>113</v>
      </c>
      <c r="D59" s="48">
        <f t="shared" ref="D59:D65" ca="1" si="67">INDEX(INDIRECT(VLOOKUP(Body.type,Body_type,5,FALSE)),A59,2)</f>
        <v>113</v>
      </c>
      <c r="E59" s="104">
        <f t="shared" ref="E59:E65" ca="1" si="68">IF(B59&gt;0,D59*$J$4,)</f>
        <v>102.29697517463731</v>
      </c>
      <c r="F59" s="104">
        <f t="shared" ref="F59:F65" ca="1" si="69">IF(B59&gt;0,VLOOKUP(B59,Food_Database,9,FALSE),)</f>
        <v>28.25</v>
      </c>
      <c r="G59" s="104">
        <f t="shared" ref="G59:G65" ca="1" si="70">IF(B59&gt;0,CEILING(E59,F59),)</f>
        <v>113</v>
      </c>
      <c r="H59" s="104">
        <f t="shared" ref="H59:H65" ca="1" si="71">IF(B59&gt;0,FLOOR(E59,F59),)</f>
        <v>84.75</v>
      </c>
      <c r="I59" s="41">
        <f t="shared" ref="I59:I65" ca="1" si="72">IF(B59&gt;0,VLOOKUP(B59,Food_Database,2,FALSE)*C59/convert,)</f>
        <v>81.36</v>
      </c>
      <c r="J59" s="3"/>
      <c r="K59" s="45" t="s">
        <v>381</v>
      </c>
      <c r="L59" s="194">
        <v>113</v>
      </c>
      <c r="M59" s="41">
        <f t="shared" ref="M59:M65" si="73">IF(K59&gt;0,VLOOKUP(K59,Food_Database,2,FALSE)*L59/convert,)</f>
        <v>81.36</v>
      </c>
      <c r="N59" s="3"/>
      <c r="O59" s="45" t="s">
        <v>381</v>
      </c>
      <c r="P59" s="194">
        <v>113</v>
      </c>
      <c r="Q59" s="41">
        <f t="shared" ref="Q59:Q65" si="74">IF(O59&gt;0,VLOOKUP(O59,Food_Database,2,FALSE)*P59/convert,)</f>
        <v>81.36</v>
      </c>
      <c r="R59" s="3"/>
      <c r="S59" s="45" t="s">
        <v>381</v>
      </c>
      <c r="T59" s="51">
        <v>113</v>
      </c>
      <c r="U59" s="41">
        <f t="shared" ref="U59:U65" si="75">IF(S59&gt;0,VLOOKUP(S59,Food_Database,2,FALSE)*T59/convert,)</f>
        <v>81.36</v>
      </c>
      <c r="V59" s="3"/>
      <c r="W59" s="45" t="s">
        <v>381</v>
      </c>
      <c r="X59" s="51">
        <v>113</v>
      </c>
      <c r="Y59" s="41">
        <f t="shared" ref="Y59:Y65" si="76">IF(W59&gt;0,VLOOKUP(W59,Food_Database,2,FALSE)*X59/convert,)</f>
        <v>81.36</v>
      </c>
      <c r="Z59" s="3"/>
      <c r="AA59" s="45" t="s">
        <v>381</v>
      </c>
      <c r="AB59" s="194">
        <v>113</v>
      </c>
      <c r="AC59" s="41">
        <f t="shared" ref="AC59:AC65" si="77">IF(AA59&gt;0,VLOOKUP(AA59,Food_Database,2,FALSE)*AB59/convert,)</f>
        <v>81.36</v>
      </c>
      <c r="AD59" s="3"/>
    </row>
    <row r="60" spans="1:30">
      <c r="A60" s="117">
        <v>57</v>
      </c>
      <c r="B60" s="46" t="str">
        <f t="shared" ca="1" si="65"/>
        <v>* BEEF,GROUND, 5% FAT,RAW</v>
      </c>
      <c r="C60" s="105">
        <f t="shared" ca="1" si="66"/>
        <v>171</v>
      </c>
      <c r="D60" s="49">
        <f t="shared" ca="1" si="67"/>
        <v>200</v>
      </c>
      <c r="E60" s="105">
        <f t="shared" ca="1" si="68"/>
        <v>181.05659322944655</v>
      </c>
      <c r="F60" s="105">
        <f t="shared" ca="1" si="69"/>
        <v>57</v>
      </c>
      <c r="G60" s="105">
        <f t="shared" ca="1" si="70"/>
        <v>228</v>
      </c>
      <c r="H60" s="105">
        <f t="shared" ca="1" si="71"/>
        <v>171</v>
      </c>
      <c r="I60" s="41">
        <f t="shared" ca="1" si="72"/>
        <v>234.27</v>
      </c>
      <c r="J60" s="3"/>
      <c r="K60" s="46" t="s">
        <v>818</v>
      </c>
      <c r="L60" s="195">
        <v>200</v>
      </c>
      <c r="M60" s="41">
        <f t="shared" si="73"/>
        <v>274</v>
      </c>
      <c r="N60" s="3"/>
      <c r="O60" s="46" t="s">
        <v>222</v>
      </c>
      <c r="P60" s="195">
        <v>100</v>
      </c>
      <c r="Q60" s="41">
        <f t="shared" si="74"/>
        <v>348</v>
      </c>
      <c r="R60" s="3"/>
      <c r="S60" s="46" t="s">
        <v>230</v>
      </c>
      <c r="T60" s="52">
        <v>152</v>
      </c>
      <c r="U60" s="41">
        <f t="shared" si="75"/>
        <v>48.64</v>
      </c>
      <c r="V60" s="3"/>
      <c r="W60" s="46" t="s">
        <v>230</v>
      </c>
      <c r="X60" s="52">
        <v>152</v>
      </c>
      <c r="Y60" s="41">
        <f t="shared" si="76"/>
        <v>48.64</v>
      </c>
      <c r="Z60" s="3"/>
      <c r="AA60" s="46" t="s">
        <v>818</v>
      </c>
      <c r="AB60" s="195">
        <v>200</v>
      </c>
      <c r="AC60" s="41">
        <f t="shared" si="77"/>
        <v>274</v>
      </c>
      <c r="AD60" s="3"/>
    </row>
    <row r="61" spans="1:30">
      <c r="A61" s="117">
        <v>58</v>
      </c>
      <c r="B61" s="46" t="str">
        <f t="shared" ca="1" si="65"/>
        <v>* PASTA, WHOLE WHEAT</v>
      </c>
      <c r="C61" s="105">
        <f t="shared" ca="1" si="66"/>
        <v>72</v>
      </c>
      <c r="D61" s="49">
        <f t="shared" ca="1" si="67"/>
        <v>75</v>
      </c>
      <c r="E61" s="105">
        <f t="shared" ca="1" si="68"/>
        <v>67.896222461042456</v>
      </c>
      <c r="F61" s="105">
        <f t="shared" ca="1" si="69"/>
        <v>9</v>
      </c>
      <c r="G61" s="105">
        <f t="shared" ca="1" si="70"/>
        <v>72</v>
      </c>
      <c r="H61" s="105">
        <f t="shared" ca="1" si="71"/>
        <v>63</v>
      </c>
      <c r="I61" s="41">
        <f t="shared" ca="1" si="72"/>
        <v>262.08</v>
      </c>
      <c r="J61" s="3"/>
      <c r="K61" s="46" t="s">
        <v>915</v>
      </c>
      <c r="L61" s="195">
        <v>75</v>
      </c>
      <c r="M61" s="41">
        <f t="shared" si="73"/>
        <v>273</v>
      </c>
      <c r="N61" s="3"/>
      <c r="O61" s="46" t="s">
        <v>186</v>
      </c>
      <c r="P61" s="195">
        <v>228</v>
      </c>
      <c r="Q61" s="41">
        <f t="shared" si="74"/>
        <v>326.04000000000002</v>
      </c>
      <c r="R61" s="3"/>
      <c r="S61" s="46"/>
      <c r="T61" s="52"/>
      <c r="U61" s="41">
        <f t="shared" si="75"/>
        <v>0</v>
      </c>
      <c r="V61" s="3"/>
      <c r="W61" s="46"/>
      <c r="X61" s="52"/>
      <c r="Y61" s="41">
        <f t="shared" si="76"/>
        <v>0</v>
      </c>
      <c r="Z61" s="3"/>
      <c r="AA61" s="46" t="s">
        <v>915</v>
      </c>
      <c r="AB61" s="195">
        <v>60</v>
      </c>
      <c r="AC61" s="41">
        <f t="shared" si="77"/>
        <v>218.4</v>
      </c>
      <c r="AD61" s="3"/>
    </row>
    <row r="62" spans="1:30">
      <c r="A62" s="117">
        <v>59</v>
      </c>
      <c r="B62" s="46">
        <f t="shared" ca="1" si="65"/>
        <v>0</v>
      </c>
      <c r="C62" s="105">
        <f t="shared" ca="1" si="66"/>
        <v>0</v>
      </c>
      <c r="D62" s="49">
        <f t="shared" ca="1" si="67"/>
        <v>0</v>
      </c>
      <c r="E62" s="105">
        <f t="shared" ca="1" si="68"/>
        <v>0</v>
      </c>
      <c r="F62" s="105">
        <f t="shared" ca="1" si="69"/>
        <v>0</v>
      </c>
      <c r="G62" s="105">
        <f t="shared" ca="1" si="70"/>
        <v>0</v>
      </c>
      <c r="H62" s="105">
        <f t="shared" ca="1" si="71"/>
        <v>0</v>
      </c>
      <c r="I62" s="41">
        <f t="shared" ca="1" si="72"/>
        <v>0</v>
      </c>
      <c r="J62" s="3"/>
      <c r="K62" s="46"/>
      <c r="L62" s="52"/>
      <c r="M62" s="41">
        <f t="shared" si="73"/>
        <v>0</v>
      </c>
      <c r="N62" s="3"/>
      <c r="O62" s="46"/>
      <c r="P62" s="52"/>
      <c r="Q62" s="41">
        <f t="shared" si="74"/>
        <v>0</v>
      </c>
      <c r="R62" s="3"/>
      <c r="S62" s="46"/>
      <c r="T62" s="52"/>
      <c r="U62" s="41">
        <f t="shared" si="75"/>
        <v>0</v>
      </c>
      <c r="V62" s="3"/>
      <c r="W62" s="46"/>
      <c r="X62" s="52"/>
      <c r="Y62" s="41">
        <f t="shared" si="76"/>
        <v>0</v>
      </c>
      <c r="Z62" s="3"/>
      <c r="AA62" s="46"/>
      <c r="AB62" s="52"/>
      <c r="AC62" s="41">
        <f t="shared" si="77"/>
        <v>0</v>
      </c>
      <c r="AD62" s="3"/>
    </row>
    <row r="63" spans="1:30">
      <c r="A63" s="117">
        <v>60</v>
      </c>
      <c r="B63" s="46">
        <f t="shared" ca="1" si="65"/>
        <v>0</v>
      </c>
      <c r="C63" s="105">
        <f t="shared" ca="1" si="66"/>
        <v>0</v>
      </c>
      <c r="D63" s="49">
        <f t="shared" ca="1" si="67"/>
        <v>0</v>
      </c>
      <c r="E63" s="105">
        <f t="shared" ca="1" si="68"/>
        <v>0</v>
      </c>
      <c r="F63" s="105">
        <f t="shared" ca="1" si="69"/>
        <v>0</v>
      </c>
      <c r="G63" s="105">
        <f t="shared" ca="1" si="70"/>
        <v>0</v>
      </c>
      <c r="H63" s="105">
        <f t="shared" ca="1" si="71"/>
        <v>0</v>
      </c>
      <c r="I63" s="41">
        <f t="shared" ca="1" si="72"/>
        <v>0</v>
      </c>
      <c r="J63" s="3"/>
      <c r="K63" s="46"/>
      <c r="L63" s="52"/>
      <c r="M63" s="41">
        <f t="shared" si="73"/>
        <v>0</v>
      </c>
      <c r="N63" s="3"/>
      <c r="O63" s="46"/>
      <c r="P63" s="52"/>
      <c r="Q63" s="41">
        <f t="shared" si="74"/>
        <v>0</v>
      </c>
      <c r="R63" s="3"/>
      <c r="S63" s="46"/>
      <c r="T63" s="52"/>
      <c r="U63" s="41">
        <f t="shared" si="75"/>
        <v>0</v>
      </c>
      <c r="V63" s="3"/>
      <c r="W63" s="46"/>
      <c r="X63" s="52"/>
      <c r="Y63" s="41">
        <f t="shared" si="76"/>
        <v>0</v>
      </c>
      <c r="Z63" s="3"/>
      <c r="AA63" s="46"/>
      <c r="AB63" s="52"/>
      <c r="AC63" s="41">
        <f t="shared" si="77"/>
        <v>0</v>
      </c>
      <c r="AD63" s="3"/>
    </row>
    <row r="64" spans="1:30">
      <c r="A64" s="117">
        <v>61</v>
      </c>
      <c r="B64" s="46">
        <f t="shared" ca="1" si="65"/>
        <v>0</v>
      </c>
      <c r="C64" s="105">
        <f t="shared" ca="1" si="66"/>
        <v>0</v>
      </c>
      <c r="D64" s="49">
        <f t="shared" ca="1" si="67"/>
        <v>0</v>
      </c>
      <c r="E64" s="105">
        <f t="shared" ca="1" si="68"/>
        <v>0</v>
      </c>
      <c r="F64" s="105">
        <f t="shared" ca="1" si="69"/>
        <v>0</v>
      </c>
      <c r="G64" s="105">
        <f t="shared" ca="1" si="70"/>
        <v>0</v>
      </c>
      <c r="H64" s="105">
        <f t="shared" ca="1" si="71"/>
        <v>0</v>
      </c>
      <c r="I64" s="41">
        <f t="shared" ca="1" si="72"/>
        <v>0</v>
      </c>
      <c r="J64" s="3"/>
      <c r="K64" s="46"/>
      <c r="L64" s="52"/>
      <c r="M64" s="41">
        <f t="shared" si="73"/>
        <v>0</v>
      </c>
      <c r="N64" s="3"/>
      <c r="O64" s="46"/>
      <c r="P64" s="52"/>
      <c r="Q64" s="41">
        <f t="shared" si="74"/>
        <v>0</v>
      </c>
      <c r="R64" s="3"/>
      <c r="S64" s="46"/>
      <c r="T64" s="52"/>
      <c r="U64" s="41">
        <f t="shared" si="75"/>
        <v>0</v>
      </c>
      <c r="V64" s="3"/>
      <c r="W64" s="46"/>
      <c r="X64" s="52"/>
      <c r="Y64" s="41">
        <f t="shared" si="76"/>
        <v>0</v>
      </c>
      <c r="Z64" s="3"/>
      <c r="AA64" s="46"/>
      <c r="AB64" s="52"/>
      <c r="AC64" s="41">
        <f t="shared" si="77"/>
        <v>0</v>
      </c>
      <c r="AD64" s="3"/>
    </row>
    <row r="65" spans="1:30" ht="13.5" thickBot="1">
      <c r="A65" s="117">
        <v>62</v>
      </c>
      <c r="B65" s="47">
        <f t="shared" ca="1" si="65"/>
        <v>0</v>
      </c>
      <c r="C65" s="106">
        <f t="shared" ca="1" si="66"/>
        <v>0</v>
      </c>
      <c r="D65" s="50">
        <f t="shared" ca="1" si="67"/>
        <v>0</v>
      </c>
      <c r="E65" s="106">
        <f t="shared" ca="1" si="68"/>
        <v>0</v>
      </c>
      <c r="F65" s="106">
        <f t="shared" ca="1" si="69"/>
        <v>0</v>
      </c>
      <c r="G65" s="106">
        <f t="shared" ca="1" si="70"/>
        <v>0</v>
      </c>
      <c r="H65" s="106">
        <f t="shared" ca="1" si="71"/>
        <v>0</v>
      </c>
      <c r="I65" s="44">
        <f t="shared" ca="1" si="72"/>
        <v>0</v>
      </c>
      <c r="J65" s="3"/>
      <c r="K65" s="47"/>
      <c r="L65" s="53"/>
      <c r="M65" s="44">
        <f t="shared" si="73"/>
        <v>0</v>
      </c>
      <c r="N65" s="3"/>
      <c r="O65" s="47"/>
      <c r="P65" s="53"/>
      <c r="Q65" s="44">
        <f t="shared" si="74"/>
        <v>0</v>
      </c>
      <c r="R65" s="3"/>
      <c r="S65" s="47"/>
      <c r="T65" s="53"/>
      <c r="U65" s="44">
        <f t="shared" si="75"/>
        <v>0</v>
      </c>
      <c r="V65" s="3"/>
      <c r="W65" s="47"/>
      <c r="X65" s="53"/>
      <c r="Y65" s="44">
        <f t="shared" si="76"/>
        <v>0</v>
      </c>
      <c r="Z65" s="3"/>
      <c r="AA65" s="47"/>
      <c r="AB65" s="53"/>
      <c r="AC65" s="44">
        <f t="shared" si="77"/>
        <v>0</v>
      </c>
      <c r="AD65" s="3"/>
    </row>
    <row r="66" spans="1:30" ht="13.5" thickBot="1">
      <c r="A66" s="117">
        <v>63</v>
      </c>
      <c r="B66" s="77" t="s">
        <v>268</v>
      </c>
      <c r="C66" s="3"/>
      <c r="D66" s="3"/>
      <c r="E66" s="3"/>
      <c r="F66" s="3"/>
      <c r="G66" s="3"/>
      <c r="H66" s="3"/>
      <c r="I66" s="3"/>
      <c r="J66" s="3"/>
      <c r="K66" s="77" t="s">
        <v>268</v>
      </c>
      <c r="L66" s="3"/>
      <c r="M66" s="3"/>
      <c r="N66" s="3"/>
      <c r="O66" s="77" t="s">
        <v>268</v>
      </c>
      <c r="P66" s="3"/>
      <c r="Q66" s="3"/>
      <c r="R66" s="3"/>
      <c r="S66" s="77" t="s">
        <v>268</v>
      </c>
      <c r="T66" s="3"/>
      <c r="U66" s="3"/>
      <c r="V66" s="3"/>
      <c r="W66" s="77" t="s">
        <v>268</v>
      </c>
      <c r="X66" s="3"/>
      <c r="Y66" s="3"/>
      <c r="Z66" s="3"/>
      <c r="AA66" s="77" t="s">
        <v>268</v>
      </c>
      <c r="AB66" s="3"/>
      <c r="AC66" s="3"/>
      <c r="AD66" s="3"/>
    </row>
    <row r="67" spans="1:30" ht="14.25" thickTop="1" thickBot="1">
      <c r="A67" s="117">
        <v>64</v>
      </c>
      <c r="B67" s="78"/>
      <c r="C67" s="79"/>
      <c r="D67" s="79" t="s">
        <v>1271</v>
      </c>
      <c r="E67" s="79"/>
      <c r="F67" s="79"/>
      <c r="G67" s="79"/>
      <c r="H67" s="79"/>
      <c r="I67" s="81">
        <f ca="1">SUM(I70:I76)</f>
        <v>601.20500000000004</v>
      </c>
      <c r="J67" s="3"/>
      <c r="K67" s="78"/>
      <c r="L67" s="79" t="s">
        <v>1271</v>
      </c>
      <c r="M67" s="81">
        <f>SUM(M70:M76)</f>
        <v>679.38</v>
      </c>
      <c r="N67" s="3"/>
      <c r="O67" s="78"/>
      <c r="P67" s="79" t="s">
        <v>1271</v>
      </c>
      <c r="Q67" s="81">
        <f>SUM(Q70:Q76)</f>
        <v>610.29999999999995</v>
      </c>
      <c r="R67" s="3"/>
      <c r="S67" s="78"/>
      <c r="T67" s="79" t="s">
        <v>1271</v>
      </c>
      <c r="U67" s="81">
        <f>SUM(U70:U76)</f>
        <v>608.69999999999993</v>
      </c>
      <c r="V67" s="3"/>
      <c r="W67" s="78"/>
      <c r="X67" s="79" t="s">
        <v>1271</v>
      </c>
      <c r="Y67" s="81">
        <f>SUM(Y70:Y76)</f>
        <v>676.72</v>
      </c>
      <c r="Z67" s="3"/>
      <c r="AA67" s="78"/>
      <c r="AB67" s="79" t="s">
        <v>1271</v>
      </c>
      <c r="AC67" s="81">
        <f>SUM(AC70:AC76)</f>
        <v>610.29999999999995</v>
      </c>
      <c r="AD67" s="3"/>
    </row>
    <row r="68" spans="1:30" ht="13.5" thickBot="1">
      <c r="A68" s="117">
        <v>65</v>
      </c>
      <c r="B68" s="82" t="str">
        <f>"Meal "&amp;Meal.post&amp;" (Post workout)"</f>
        <v>Meal 0 (Post workout)</v>
      </c>
      <c r="C68" s="83"/>
      <c r="D68" s="83" t="s">
        <v>1270</v>
      </c>
      <c r="E68" s="83"/>
      <c r="F68" s="83"/>
      <c r="G68" s="83"/>
      <c r="H68" s="83"/>
      <c r="I68" s="83"/>
      <c r="J68" s="3"/>
      <c r="K68" s="82" t="s">
        <v>329</v>
      </c>
      <c r="L68" s="83" t="s">
        <v>1270</v>
      </c>
      <c r="M68" s="83"/>
      <c r="N68" s="3"/>
      <c r="O68" s="82" t="s">
        <v>329</v>
      </c>
      <c r="P68" s="83" t="s">
        <v>1270</v>
      </c>
      <c r="Q68" s="83"/>
      <c r="R68" s="3"/>
      <c r="S68" s="82" t="s">
        <v>329</v>
      </c>
      <c r="T68" s="83" t="s">
        <v>1270</v>
      </c>
      <c r="U68" s="83"/>
      <c r="V68" s="3"/>
      <c r="W68" s="82" t="s">
        <v>329</v>
      </c>
      <c r="X68" s="83" t="s">
        <v>1270</v>
      </c>
      <c r="Y68" s="83"/>
      <c r="Z68" s="3"/>
      <c r="AA68" s="82" t="s">
        <v>329</v>
      </c>
      <c r="AB68" s="83" t="s">
        <v>1270</v>
      </c>
      <c r="AC68" s="83"/>
      <c r="AD68" s="3"/>
    </row>
    <row r="69" spans="1:30" ht="13.5" thickBot="1">
      <c r="A69" s="117">
        <v>66</v>
      </c>
      <c r="B69" s="16" t="s">
        <v>1269</v>
      </c>
      <c r="C69" s="37"/>
      <c r="D69" s="37" t="str">
        <f>PROPER(units)</f>
        <v>Grams</v>
      </c>
      <c r="E69" s="37"/>
      <c r="F69" s="37"/>
      <c r="G69" s="37"/>
      <c r="H69" s="37"/>
      <c r="I69" s="36" t="s">
        <v>1474</v>
      </c>
      <c r="J69" s="3"/>
      <c r="K69" s="16" t="s">
        <v>1269</v>
      </c>
      <c r="L69" s="37" t="str">
        <f>PROPER(units)</f>
        <v>Grams</v>
      </c>
      <c r="M69" s="36" t="s">
        <v>1474</v>
      </c>
      <c r="N69" s="3"/>
      <c r="O69" s="16" t="s">
        <v>1269</v>
      </c>
      <c r="P69" s="37" t="str">
        <f>PROPER(units)</f>
        <v>Grams</v>
      </c>
      <c r="Q69" s="36" t="s">
        <v>1474</v>
      </c>
      <c r="R69" s="3"/>
      <c r="S69" s="16" t="s">
        <v>1269</v>
      </c>
      <c r="T69" s="37" t="str">
        <f>PROPER(units)</f>
        <v>Grams</v>
      </c>
      <c r="U69" s="36" t="s">
        <v>1474</v>
      </c>
      <c r="V69" s="3"/>
      <c r="W69" s="16" t="s">
        <v>1269</v>
      </c>
      <c r="X69" s="37" t="str">
        <f>PROPER(units)</f>
        <v>Grams</v>
      </c>
      <c r="Y69" s="36" t="s">
        <v>1474</v>
      </c>
      <c r="Z69" s="3"/>
      <c r="AA69" s="16" t="s">
        <v>1269</v>
      </c>
      <c r="AB69" s="37" t="str">
        <f>PROPER(units)</f>
        <v>Grams</v>
      </c>
      <c r="AC69" s="36" t="s">
        <v>1474</v>
      </c>
      <c r="AD69" s="3"/>
    </row>
    <row r="70" spans="1:30">
      <c r="A70" s="117">
        <v>67</v>
      </c>
      <c r="B70" s="45" t="str">
        <f t="shared" ref="B70:B76" ca="1" si="78">INDEX(INDIRECT(Body.db),A70,1)</f>
        <v>* MILK, SKIM</v>
      </c>
      <c r="C70" s="104">
        <f t="shared" ref="C70:C76" ca="1" si="79">IF(B70&gt;0,IF(G70-E70&gt;E70-H70,H70,G70),)</f>
        <v>428.75</v>
      </c>
      <c r="D70" s="48">
        <f t="shared" ref="D70:D76" ca="1" si="80">INDEX(INDIRECT(VLOOKUP(Body.type,Body_type,5,FALSE)),A70,2)</f>
        <v>490</v>
      </c>
      <c r="E70" s="104">
        <f t="shared" ref="E70:E76" ca="1" si="81">IF(B70&gt;0,D70*$J$4,)</f>
        <v>443.58865341214408</v>
      </c>
      <c r="F70" s="104">
        <f t="shared" ref="F70:F76" ca="1" si="82">IF(B70&gt;0,VLOOKUP(B70,Food_Database,9,FALSE),)</f>
        <v>30.625</v>
      </c>
      <c r="G70" s="104">
        <f t="shared" ref="G70:G76" ca="1" si="83">IF(B70&gt;0,CEILING(E70,F70),)</f>
        <v>459.375</v>
      </c>
      <c r="H70" s="104">
        <f t="shared" ref="H70:H76" ca="1" si="84">IF(B70&gt;0,FLOOR(E70,F70),)</f>
        <v>428.75</v>
      </c>
      <c r="I70" s="41">
        <f t="shared" ref="I70:I76" ca="1" si="85">IF(B70&gt;0,VLOOKUP(B70,Food_Database,2,FALSE)*C70/convert,)</f>
        <v>145.77500000000001</v>
      </c>
      <c r="J70" s="3"/>
      <c r="K70" s="45" t="s">
        <v>179</v>
      </c>
      <c r="L70" s="194">
        <v>490</v>
      </c>
      <c r="M70" s="41">
        <f t="shared" ref="M70:M76" si="86">IF(K70&gt;0,VLOOKUP(K70,Food_Database,2,FALSE)*L70/convert,)</f>
        <v>166.6</v>
      </c>
      <c r="N70" s="3"/>
      <c r="O70" s="45" t="s">
        <v>179</v>
      </c>
      <c r="P70" s="194">
        <v>490</v>
      </c>
      <c r="Q70" s="41">
        <f t="shared" ref="Q70:Q76" si="87">IF(O70&gt;0,VLOOKUP(O70,Food_Database,2,FALSE)*P70/convert,)</f>
        <v>166.6</v>
      </c>
      <c r="R70" s="3"/>
      <c r="S70" s="45" t="s">
        <v>179</v>
      </c>
      <c r="T70" s="194">
        <v>490</v>
      </c>
      <c r="U70" s="41">
        <f t="shared" ref="U70:U76" si="88">IF(S70&gt;0,VLOOKUP(S70,Food_Database,2,FALSE)*T70/convert,)</f>
        <v>166.6</v>
      </c>
      <c r="V70" s="3"/>
      <c r="W70" s="45" t="s">
        <v>179</v>
      </c>
      <c r="X70" s="194">
        <v>490</v>
      </c>
      <c r="Y70" s="41">
        <f t="shared" ref="Y70:Y76" si="89">IF(W70&gt;0,VLOOKUP(W70,Food_Database,2,FALSE)*X70/convert,)</f>
        <v>166.6</v>
      </c>
      <c r="Z70" s="3"/>
      <c r="AA70" s="45" t="s">
        <v>179</v>
      </c>
      <c r="AB70" s="194">
        <v>490</v>
      </c>
      <c r="AC70" s="41">
        <f t="shared" ref="AC70:AC76" si="90">IF(AA70&gt;0,VLOOKUP(AA70,Food_Database,2,FALSE)*AB70/convert,)</f>
        <v>166.6</v>
      </c>
      <c r="AD70" s="3"/>
    </row>
    <row r="71" spans="1:30">
      <c r="A71" s="117">
        <v>68</v>
      </c>
      <c r="B71" s="46" t="str">
        <f t="shared" ca="1" si="78"/>
        <v>* STRAWBERRIES,RAW</v>
      </c>
      <c r="C71" s="105">
        <f t="shared" ca="1" si="79"/>
        <v>266</v>
      </c>
      <c r="D71" s="49">
        <f t="shared" ca="1" si="80"/>
        <v>300</v>
      </c>
      <c r="E71" s="105">
        <f t="shared" ca="1" si="81"/>
        <v>271.58488984416982</v>
      </c>
      <c r="F71" s="105">
        <f t="shared" ca="1" si="82"/>
        <v>19</v>
      </c>
      <c r="G71" s="105">
        <f t="shared" ca="1" si="83"/>
        <v>285</v>
      </c>
      <c r="H71" s="105">
        <f t="shared" ca="1" si="84"/>
        <v>266</v>
      </c>
      <c r="I71" s="41">
        <f t="shared" ca="1" si="85"/>
        <v>85.12</v>
      </c>
      <c r="J71" s="3"/>
      <c r="K71" s="46" t="s">
        <v>230</v>
      </c>
      <c r="L71" s="195">
        <v>300</v>
      </c>
      <c r="M71" s="41">
        <f t="shared" si="86"/>
        <v>96</v>
      </c>
      <c r="N71" s="3"/>
      <c r="O71" s="46" t="s">
        <v>230</v>
      </c>
      <c r="P71" s="195">
        <v>290</v>
      </c>
      <c r="Q71" s="41">
        <f t="shared" si="87"/>
        <v>92.8</v>
      </c>
      <c r="R71" s="3"/>
      <c r="S71" s="46" t="s">
        <v>230</v>
      </c>
      <c r="T71" s="195">
        <v>285</v>
      </c>
      <c r="U71" s="41">
        <f t="shared" si="88"/>
        <v>91.2</v>
      </c>
      <c r="V71" s="3"/>
      <c r="W71" s="46" t="s">
        <v>230</v>
      </c>
      <c r="X71" s="195">
        <v>290</v>
      </c>
      <c r="Y71" s="41">
        <f t="shared" si="89"/>
        <v>92.8</v>
      </c>
      <c r="Z71" s="3"/>
      <c r="AA71" s="46" t="s">
        <v>230</v>
      </c>
      <c r="AB71" s="195">
        <v>290</v>
      </c>
      <c r="AC71" s="41">
        <f t="shared" si="90"/>
        <v>92.8</v>
      </c>
      <c r="AD71" s="3"/>
    </row>
    <row r="72" spans="1:30">
      <c r="A72" s="117">
        <v>69</v>
      </c>
      <c r="B72" s="46" t="str">
        <f t="shared" ca="1" si="78"/>
        <v>BANANAS,RAW</v>
      </c>
      <c r="C72" s="105">
        <f t="shared" ca="1" si="79"/>
        <v>118</v>
      </c>
      <c r="D72" s="49">
        <f t="shared" ca="1" si="80"/>
        <v>118</v>
      </c>
      <c r="E72" s="105">
        <f t="shared" ca="1" si="81"/>
        <v>106.82339000537347</v>
      </c>
      <c r="F72" s="105">
        <f t="shared" ca="1" si="82"/>
        <v>29.5</v>
      </c>
      <c r="G72" s="105">
        <f t="shared" ca="1" si="83"/>
        <v>118</v>
      </c>
      <c r="H72" s="105">
        <f t="shared" ca="1" si="84"/>
        <v>88.5</v>
      </c>
      <c r="I72" s="41">
        <f t="shared" ca="1" si="85"/>
        <v>105.02</v>
      </c>
      <c r="J72" s="3"/>
      <c r="K72" s="46" t="s">
        <v>170</v>
      </c>
      <c r="L72" s="195">
        <v>118</v>
      </c>
      <c r="M72" s="41">
        <f t="shared" si="86"/>
        <v>105.02</v>
      </c>
      <c r="N72" s="3"/>
      <c r="O72" s="46" t="s">
        <v>170</v>
      </c>
      <c r="P72" s="195">
        <v>118</v>
      </c>
      <c r="Q72" s="41">
        <f t="shared" si="87"/>
        <v>105.02</v>
      </c>
      <c r="R72" s="3"/>
      <c r="S72" s="46" t="s">
        <v>170</v>
      </c>
      <c r="T72" s="195">
        <v>118</v>
      </c>
      <c r="U72" s="41">
        <f t="shared" si="88"/>
        <v>105.02</v>
      </c>
      <c r="V72" s="3"/>
      <c r="W72" s="46" t="s">
        <v>170</v>
      </c>
      <c r="X72" s="195">
        <v>118</v>
      </c>
      <c r="Y72" s="41">
        <f t="shared" si="89"/>
        <v>105.02</v>
      </c>
      <c r="Z72" s="3"/>
      <c r="AA72" s="46" t="s">
        <v>170</v>
      </c>
      <c r="AB72" s="195">
        <v>118</v>
      </c>
      <c r="AC72" s="41">
        <f t="shared" si="90"/>
        <v>105.02</v>
      </c>
      <c r="AD72" s="3"/>
    </row>
    <row r="73" spans="1:30">
      <c r="A73" s="117">
        <v>70</v>
      </c>
      <c r="B73" s="46" t="str">
        <f t="shared" ca="1" si="78"/>
        <v>* PROTEIN POWDER (SCOOP)</v>
      </c>
      <c r="C73" s="105">
        <f t="shared" ca="1" si="79"/>
        <v>37.5</v>
      </c>
      <c r="D73" s="49">
        <f t="shared" ca="1" si="80"/>
        <v>45</v>
      </c>
      <c r="E73" s="105">
        <f t="shared" ca="1" si="81"/>
        <v>40.737733476625479</v>
      </c>
      <c r="F73" s="105">
        <f t="shared" ca="1" si="82"/>
        <v>7.5</v>
      </c>
      <c r="G73" s="105">
        <f t="shared" ca="1" si="83"/>
        <v>45</v>
      </c>
      <c r="H73" s="105">
        <f t="shared" ca="1" si="84"/>
        <v>37.5</v>
      </c>
      <c r="I73" s="41">
        <f t="shared" ca="1" si="85"/>
        <v>150</v>
      </c>
      <c r="J73" s="3"/>
      <c r="K73" s="46" t="s">
        <v>469</v>
      </c>
      <c r="L73" s="195">
        <v>45</v>
      </c>
      <c r="M73" s="41">
        <f t="shared" si="86"/>
        <v>180</v>
      </c>
      <c r="N73" s="3"/>
      <c r="O73" s="46" t="s">
        <v>469</v>
      </c>
      <c r="P73" s="195">
        <v>45</v>
      </c>
      <c r="Q73" s="41">
        <f t="shared" si="87"/>
        <v>180</v>
      </c>
      <c r="R73" s="3"/>
      <c r="S73" s="46" t="s">
        <v>469</v>
      </c>
      <c r="T73" s="195">
        <v>45</v>
      </c>
      <c r="U73" s="41">
        <f t="shared" si="88"/>
        <v>180</v>
      </c>
      <c r="V73" s="3"/>
      <c r="W73" s="46" t="s">
        <v>469</v>
      </c>
      <c r="X73" s="195">
        <v>45</v>
      </c>
      <c r="Y73" s="41">
        <f t="shared" si="89"/>
        <v>180</v>
      </c>
      <c r="Z73" s="3"/>
      <c r="AA73" s="46" t="s">
        <v>469</v>
      </c>
      <c r="AB73" s="195">
        <v>45</v>
      </c>
      <c r="AC73" s="41">
        <f t="shared" si="90"/>
        <v>180</v>
      </c>
      <c r="AD73" s="3"/>
    </row>
    <row r="74" spans="1:30">
      <c r="A74" s="117">
        <v>71</v>
      </c>
      <c r="B74" s="46" t="str">
        <f t="shared" ca="1" si="78"/>
        <v>SPORTS DRINK, (ie. GATORADE)</v>
      </c>
      <c r="C74" s="105">
        <f t="shared" ca="1" si="79"/>
        <v>427</v>
      </c>
      <c r="D74" s="49">
        <f t="shared" ca="1" si="80"/>
        <v>488</v>
      </c>
      <c r="E74" s="105">
        <f t="shared" ca="1" si="81"/>
        <v>441.7780874798496</v>
      </c>
      <c r="F74" s="105">
        <f t="shared" ca="1" si="82"/>
        <v>30.5</v>
      </c>
      <c r="G74" s="105">
        <f t="shared" ca="1" si="83"/>
        <v>457.5</v>
      </c>
      <c r="H74" s="105">
        <f t="shared" ca="1" si="84"/>
        <v>427</v>
      </c>
      <c r="I74" s="41">
        <f t="shared" ca="1" si="85"/>
        <v>115.29</v>
      </c>
      <c r="J74" s="3"/>
      <c r="K74" s="46" t="s">
        <v>792</v>
      </c>
      <c r="L74" s="195">
        <v>488</v>
      </c>
      <c r="M74" s="41">
        <f t="shared" si="86"/>
        <v>131.76</v>
      </c>
      <c r="N74" s="3"/>
      <c r="O74" s="46" t="s">
        <v>792</v>
      </c>
      <c r="P74" s="195">
        <v>244</v>
      </c>
      <c r="Q74" s="41">
        <f t="shared" si="87"/>
        <v>65.88</v>
      </c>
      <c r="R74" s="3"/>
      <c r="S74" s="46" t="s">
        <v>792</v>
      </c>
      <c r="T74" s="195">
        <v>244</v>
      </c>
      <c r="U74" s="41">
        <f t="shared" si="88"/>
        <v>65.88</v>
      </c>
      <c r="V74" s="3"/>
      <c r="W74" s="46" t="s">
        <v>792</v>
      </c>
      <c r="X74" s="195">
        <v>490</v>
      </c>
      <c r="Y74" s="41">
        <f t="shared" si="89"/>
        <v>132.30000000000001</v>
      </c>
      <c r="Z74" s="3"/>
      <c r="AA74" s="46" t="s">
        <v>792</v>
      </c>
      <c r="AB74" s="195">
        <v>244</v>
      </c>
      <c r="AC74" s="41">
        <f t="shared" si="90"/>
        <v>65.88</v>
      </c>
      <c r="AD74" s="3"/>
    </row>
    <row r="75" spans="1:30">
      <c r="A75" s="117">
        <v>72</v>
      </c>
      <c r="B75" s="46">
        <f t="shared" ca="1" si="78"/>
        <v>0</v>
      </c>
      <c r="C75" s="105">
        <f t="shared" ca="1" si="79"/>
        <v>0</v>
      </c>
      <c r="D75" s="49">
        <f t="shared" ca="1" si="80"/>
        <v>0</v>
      </c>
      <c r="E75" s="105">
        <f t="shared" ca="1" si="81"/>
        <v>0</v>
      </c>
      <c r="F75" s="105">
        <f t="shared" ca="1" si="82"/>
        <v>0</v>
      </c>
      <c r="G75" s="105">
        <f t="shared" ca="1" si="83"/>
        <v>0</v>
      </c>
      <c r="H75" s="105">
        <f t="shared" ca="1" si="84"/>
        <v>0</v>
      </c>
      <c r="I75" s="41">
        <f t="shared" ca="1" si="85"/>
        <v>0</v>
      </c>
      <c r="J75" s="3"/>
      <c r="K75" s="46"/>
      <c r="L75" s="49"/>
      <c r="M75" s="41">
        <f t="shared" si="86"/>
        <v>0</v>
      </c>
      <c r="N75" s="3"/>
      <c r="O75" s="46"/>
      <c r="P75" s="49"/>
      <c r="Q75" s="41">
        <f t="shared" si="87"/>
        <v>0</v>
      </c>
      <c r="R75" s="3"/>
      <c r="S75" s="46"/>
      <c r="T75" s="49"/>
      <c r="U75" s="41">
        <f t="shared" si="88"/>
        <v>0</v>
      </c>
      <c r="V75" s="3"/>
      <c r="W75" s="46"/>
      <c r="X75" s="49"/>
      <c r="Y75" s="41">
        <f t="shared" si="89"/>
        <v>0</v>
      </c>
      <c r="Z75" s="3"/>
      <c r="AA75" s="46"/>
      <c r="AB75" s="49"/>
      <c r="AC75" s="41">
        <f t="shared" si="90"/>
        <v>0</v>
      </c>
      <c r="AD75" s="3"/>
    </row>
    <row r="76" spans="1:30" ht="13.5" thickBot="1">
      <c r="A76" s="117">
        <v>73</v>
      </c>
      <c r="B76" s="47">
        <f t="shared" ca="1" si="78"/>
        <v>0</v>
      </c>
      <c r="C76" s="106">
        <f t="shared" ca="1" si="79"/>
        <v>0</v>
      </c>
      <c r="D76" s="50">
        <f t="shared" ca="1" si="80"/>
        <v>0</v>
      </c>
      <c r="E76" s="106">
        <f t="shared" ca="1" si="81"/>
        <v>0</v>
      </c>
      <c r="F76" s="106">
        <f t="shared" ca="1" si="82"/>
        <v>0</v>
      </c>
      <c r="G76" s="106">
        <f t="shared" ca="1" si="83"/>
        <v>0</v>
      </c>
      <c r="H76" s="106">
        <f t="shared" ca="1" si="84"/>
        <v>0</v>
      </c>
      <c r="I76" s="44">
        <f t="shared" ca="1" si="85"/>
        <v>0</v>
      </c>
      <c r="J76" s="3"/>
      <c r="K76" s="47"/>
      <c r="L76" s="50"/>
      <c r="M76" s="44">
        <f t="shared" si="86"/>
        <v>0</v>
      </c>
      <c r="N76" s="3"/>
      <c r="O76" s="47"/>
      <c r="P76" s="50"/>
      <c r="Q76" s="44">
        <f t="shared" si="87"/>
        <v>0</v>
      </c>
      <c r="R76" s="3"/>
      <c r="S76" s="47"/>
      <c r="T76" s="50"/>
      <c r="U76" s="44">
        <f t="shared" si="88"/>
        <v>0</v>
      </c>
      <c r="V76" s="3"/>
      <c r="W76" s="47"/>
      <c r="X76" s="50"/>
      <c r="Y76" s="44">
        <f t="shared" si="89"/>
        <v>0</v>
      </c>
      <c r="Z76" s="3"/>
      <c r="AA76" s="47"/>
      <c r="AB76" s="50"/>
      <c r="AC76" s="44">
        <f t="shared" si="90"/>
        <v>0</v>
      </c>
      <c r="AD76" s="3"/>
    </row>
    <row r="77" spans="1:30">
      <c r="A77" s="3"/>
      <c r="B77" s="77" t="s">
        <v>268</v>
      </c>
      <c r="C77" s="3"/>
      <c r="D77" s="3"/>
      <c r="E77" s="3"/>
      <c r="F77" s="3"/>
      <c r="G77" s="3"/>
      <c r="H77" s="3"/>
      <c r="I77" s="3"/>
      <c r="J77" s="3"/>
      <c r="K77" s="77" t="s">
        <v>268</v>
      </c>
      <c r="L77" s="3"/>
      <c r="M77" s="3"/>
      <c r="N77" s="3"/>
      <c r="O77" s="77" t="s">
        <v>268</v>
      </c>
      <c r="P77" s="3"/>
      <c r="Q77" s="3"/>
      <c r="R77" s="3"/>
      <c r="S77" s="77" t="s">
        <v>268</v>
      </c>
      <c r="T77" s="3"/>
      <c r="U77" s="3"/>
      <c r="V77" s="3"/>
      <c r="W77" s="77" t="s">
        <v>268</v>
      </c>
      <c r="X77" s="3"/>
      <c r="Y77" s="3"/>
      <c r="Z77" s="3"/>
      <c r="AA77" s="77" t="s">
        <v>268</v>
      </c>
      <c r="AB77" s="3"/>
      <c r="AC77" s="3"/>
      <c r="AD77" s="3"/>
    </row>
  </sheetData>
  <phoneticPr fontId="2" type="noConversion"/>
  <dataValidations count="1">
    <dataValidation type="list" allowBlank="1" showInputMessage="1" showErrorMessage="1" sqref="W37:W43 S15:S21 O15:O21 O26:O32 K15:K21 AA4:AA10 W15:W21 AA26:AA32 K26:K32 S26:S32 W26:W32 W4:W10 S4:S10 K4:K10 S70:S76 O4:O10 W48:W54 S48:S54 S37:S43 O37:O43 K48:K54 AA15:AA21 O48:O54 K37:K43 O70:O76 AA48:AA54 W59:W65 K59:K65 S59:S65 AA59:AA65 W70:W76 AA70:AA76 K70:K76 AA37:AA43 O59:O65" xr:uid="{00000000-0002-0000-0100-000000000000}">
      <formula1>OFFSET(INDIRECT(Foodgroup_db),,,,1)</formula1>
    </dataValidation>
  </dataValidations>
  <pageMargins left="0.75" right="0.75" top="1" bottom="1" header="0.5" footer="0.5"/>
  <pageSetup orientation="portrait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AD77"/>
  <sheetViews>
    <sheetView showZeros="0" workbookViewId="0">
      <selection activeCell="C15" sqref="C15:D15"/>
    </sheetView>
  </sheetViews>
  <sheetFormatPr defaultRowHeight="12.75"/>
  <cols>
    <col min="1" max="1" width="3.28515625" customWidth="1"/>
    <col min="2" max="2" width="26.42578125" bestFit="1" customWidth="1"/>
    <col min="5" max="5" width="8.28515625" customWidth="1"/>
    <col min="10" max="10" width="7.85546875" customWidth="1"/>
    <col min="11" max="11" width="26.42578125" bestFit="1" customWidth="1"/>
    <col min="15" max="15" width="26.42578125" bestFit="1" customWidth="1"/>
    <col min="19" max="19" width="26.42578125" bestFit="1" customWidth="1"/>
    <col min="23" max="23" width="26.42578125" bestFit="1" customWidth="1"/>
    <col min="27" max="27" width="26.42578125" bestFit="1" customWidth="1"/>
  </cols>
  <sheetData>
    <row r="1" spans="1:30" ht="14.25" thickTop="1" thickBot="1">
      <c r="A1" s="116"/>
      <c r="B1" s="114" t="str">
        <f>Body.type&amp;" - Plan 2"</f>
        <v>Ectomorph - Plan 2</v>
      </c>
      <c r="C1" s="79"/>
      <c r="D1" s="79" t="s">
        <v>1271</v>
      </c>
      <c r="E1" s="79"/>
      <c r="F1" s="79"/>
      <c r="G1" s="79"/>
      <c r="H1" s="79"/>
      <c r="I1" s="81">
        <f ca="1">SUM(I4:I10)</f>
        <v>923.63750000000005</v>
      </c>
      <c r="J1" s="200">
        <f ca="1">IF(Meal.post&gt;0,ROUND(SUMIF(D1:D76,"Totals",I1:I76)-OFFSET(INDIRECT("Meal"&amp;Meal.post&amp;".1"),-3,7,1,1),),ROUND(SUMIF(D1:D65,"Totals",I1:I65),))</f>
        <v>3279</v>
      </c>
      <c r="K1" s="114" t="s">
        <v>495</v>
      </c>
      <c r="L1" s="79" t="s">
        <v>1271</v>
      </c>
      <c r="M1" s="81">
        <f>SUM(M4:M10)</f>
        <v>815.47500000000002</v>
      </c>
      <c r="N1" s="200">
        <f ca="1">IF(Meal.post&gt;0,ROUND(SUMIF(L1:L76,"Totals",M1:M76)-OFFSET(INDIRECT("Meal"&amp;Meal.post&amp;".1"),-3,COLUMN(K:K),1,1),),ROUND(SUMIF(L1:L65,"Totals",M1:M65),))</f>
        <v>3005</v>
      </c>
      <c r="O1" s="114" t="s">
        <v>496</v>
      </c>
      <c r="P1" s="79" t="s">
        <v>1271</v>
      </c>
      <c r="Q1" s="81">
        <f>SUM(Q4:Q10)</f>
        <v>689.46</v>
      </c>
      <c r="R1" s="200">
        <f ca="1">IF(Meal.post&gt;0,ROUND(SUMIF(P1:P76,"Totals",Q1:Q76)-OFFSET(INDIRECT("Meal"&amp;Meal.post&amp;".1"),-3,COLUMN(O:O),1,1),),ROUND(SUMIF(P1:P65,"Totals",Q1:Q65),))</f>
        <v>3318</v>
      </c>
      <c r="S1" s="114" t="s">
        <v>497</v>
      </c>
      <c r="T1" s="79" t="s">
        <v>1271</v>
      </c>
      <c r="U1" s="81">
        <f>SUM(U4:U10)</f>
        <v>729.8</v>
      </c>
      <c r="V1" s="200">
        <f ca="1">IF(Meal.post&gt;0,ROUND(SUMIF(T1:T76,"Totals",U1:U76)-OFFSET(INDIRECT("Meal"&amp;Meal.post&amp;".1"),-3,COLUMN(S:S),1,1),),ROUND(SUMIF(T1:T65,"Totals",U1:U65),))</f>
        <v>3494</v>
      </c>
      <c r="W1" s="114" t="s">
        <v>498</v>
      </c>
      <c r="X1" s="79" t="s">
        <v>1271</v>
      </c>
      <c r="Y1" s="81">
        <f>SUM(Y4:Y10)</f>
        <v>807.08750000000009</v>
      </c>
      <c r="Z1" s="200">
        <f ca="1">IF(Meal.post&gt;0,ROUND(SUMIF(X1:X76,"Totals",Y1:Y76)-OFFSET(INDIRECT("Meal"&amp;Meal.post&amp;".1"),-3,COLUMN(W:W),1,1),),ROUND(SUMIF(X1:X65,"Totals",Y1:Y65),))</f>
        <v>3575</v>
      </c>
      <c r="AA1" s="114" t="s">
        <v>122</v>
      </c>
      <c r="AB1" s="79" t="s">
        <v>1271</v>
      </c>
      <c r="AC1" s="81">
        <f>SUM(AC4:AC10)</f>
        <v>898.4375</v>
      </c>
      <c r="AD1" s="200">
        <f ca="1">IF(Meal.post&gt;0,ROUND(SUMIF(AB1:AB76,"Totals",AC1:AC76)-OFFSET(INDIRECT("Meal"&amp;Meal.post&amp;".1"),-3,COLUMN(AA:AA),1,1),),ROUND(SUMIF(AB1:AB65,"Totals",AC1:AC65),))</f>
        <v>3353</v>
      </c>
    </row>
    <row r="2" spans="1:30" ht="13.5" thickBot="1">
      <c r="A2" s="38"/>
      <c r="B2" s="82" t="s">
        <v>1482</v>
      </c>
      <c r="C2" s="83"/>
      <c r="D2" s="83" t="s">
        <v>1270</v>
      </c>
      <c r="E2" s="83"/>
      <c r="F2" s="83"/>
      <c r="G2" s="83"/>
      <c r="H2" s="83"/>
      <c r="I2" s="83"/>
      <c r="J2" s="133">
        <f ca="1">OFFSET(INDIRECT(VLOOKUP(Body.type,Body_type,5,FALSE)),-3,3,1,1)</f>
        <v>3005</v>
      </c>
      <c r="K2" s="82" t="s">
        <v>1482</v>
      </c>
      <c r="L2" s="83" t="s">
        <v>1270</v>
      </c>
      <c r="M2" s="83"/>
      <c r="N2" s="38"/>
      <c r="O2" s="82" t="s">
        <v>1482</v>
      </c>
      <c r="P2" s="83" t="s">
        <v>1270</v>
      </c>
      <c r="Q2" s="83"/>
      <c r="R2" s="38"/>
      <c r="S2" s="82" t="s">
        <v>1482</v>
      </c>
      <c r="T2" s="83" t="s">
        <v>1270</v>
      </c>
      <c r="U2" s="83"/>
      <c r="V2" s="38"/>
      <c r="W2" s="82" t="s">
        <v>1482</v>
      </c>
      <c r="X2" s="83" t="s">
        <v>1270</v>
      </c>
      <c r="Y2" s="83"/>
      <c r="Z2" s="38"/>
      <c r="AA2" s="82" t="s">
        <v>1482</v>
      </c>
      <c r="AB2" s="83" t="s">
        <v>1270</v>
      </c>
      <c r="AC2" s="83"/>
      <c r="AD2" s="38"/>
    </row>
    <row r="3" spans="1:30" ht="13.5" thickBot="1">
      <c r="A3" s="38"/>
      <c r="B3" s="16" t="s">
        <v>1269</v>
      </c>
      <c r="C3" s="37" t="str">
        <f>PROPER(units)</f>
        <v>Grams</v>
      </c>
      <c r="D3" s="37" t="str">
        <f>PROPER(units)</f>
        <v>Grams</v>
      </c>
      <c r="E3" s="37" t="s">
        <v>1275</v>
      </c>
      <c r="F3" s="37" t="s">
        <v>473</v>
      </c>
      <c r="G3" s="37" t="s">
        <v>474</v>
      </c>
      <c r="H3" s="37" t="s">
        <v>475</v>
      </c>
      <c r="I3" s="36" t="s">
        <v>1474</v>
      </c>
      <c r="J3" s="132">
        <f>Target</f>
        <v>3369.4632000000006</v>
      </c>
      <c r="K3" s="16" t="s">
        <v>1269</v>
      </c>
      <c r="L3" s="37" t="str">
        <f>PROPER(units)</f>
        <v>Grams</v>
      </c>
      <c r="M3" s="36" t="s">
        <v>1474</v>
      </c>
      <c r="N3" s="38"/>
      <c r="O3" s="16" t="s">
        <v>1269</v>
      </c>
      <c r="P3" s="37" t="str">
        <f>PROPER(units)</f>
        <v>Grams</v>
      </c>
      <c r="Q3" s="36" t="s">
        <v>1474</v>
      </c>
      <c r="R3" s="38"/>
      <c r="S3" s="16" t="s">
        <v>1269</v>
      </c>
      <c r="T3" s="37" t="str">
        <f>PROPER(units)</f>
        <v>Grams</v>
      </c>
      <c r="U3" s="36" t="s">
        <v>1474</v>
      </c>
      <c r="V3" s="38"/>
      <c r="W3" s="16" t="s">
        <v>1269</v>
      </c>
      <c r="X3" s="37" t="str">
        <f>PROPER(units)</f>
        <v>Grams</v>
      </c>
      <c r="Y3" s="36" t="s">
        <v>1474</v>
      </c>
      <c r="Z3" s="38"/>
      <c r="AA3" s="16" t="s">
        <v>1269</v>
      </c>
      <c r="AB3" s="37" t="str">
        <f>PROPER(units)</f>
        <v>Grams</v>
      </c>
      <c r="AC3" s="36" t="s">
        <v>1474</v>
      </c>
      <c r="AD3" s="38"/>
    </row>
    <row r="4" spans="1:30">
      <c r="A4" s="117">
        <v>1</v>
      </c>
      <c r="B4" s="45" t="str">
        <f t="shared" ref="B4:B10" ca="1" si="0">INDEX(INDIRECT(Body.db),A4,1)</f>
        <v>* BREAD,MULTI/WHL GRAIN</v>
      </c>
      <c r="C4" s="104">
        <f t="shared" ref="C4:C10" ca="1" si="1">IF(B4&gt;0,IF(G4-E4&gt;E4-H4,H4,G4),)</f>
        <v>91</v>
      </c>
      <c r="D4" s="48">
        <f t="shared" ref="D4:D10" ca="1" si="2">INDEX(INDIRECT(VLOOKUP(Body.type,Body_type,5,FALSE)),A4,2)</f>
        <v>78</v>
      </c>
      <c r="E4" s="104">
        <f t="shared" ref="E4:E10" ca="1" si="3">IF(B4&gt;0,D4*$J$4,)</f>
        <v>87.460276073211332</v>
      </c>
      <c r="F4" s="104">
        <f t="shared" ref="F4:F10" ca="1" si="4">IF(B4&gt;0,VLOOKUP(B4,Food_Database,9,FALSE),)</f>
        <v>13</v>
      </c>
      <c r="G4" s="104">
        <f t="shared" ref="G4:G10" ca="1" si="5">IF(B4&gt;0,CEILING(E4,F4),)</f>
        <v>91</v>
      </c>
      <c r="H4" s="104">
        <f t="shared" ref="H4:H10" ca="1" si="6">IF(B4&gt;0,FLOOR(E4,F4),)</f>
        <v>78</v>
      </c>
      <c r="I4" s="41">
        <f t="shared" ref="I4:I10" ca="1" si="7">IF(B4&gt;0,VLOOKUP(B4,Food_Database,2,FALSE)*C4/convert,)</f>
        <v>241.15</v>
      </c>
      <c r="J4" s="134">
        <f ca="1">J3/J2</f>
        <v>1.1212855906821966</v>
      </c>
      <c r="K4" s="46" t="s">
        <v>746</v>
      </c>
      <c r="L4" s="195">
        <v>78</v>
      </c>
      <c r="M4" s="41">
        <f t="shared" ref="M4:M10" si="8">IF(K4&gt;0,VLOOKUP(K4,Food_Database,2,FALSE)*L4/convert,)</f>
        <v>206.7</v>
      </c>
      <c r="N4" s="38"/>
      <c r="O4" s="46" t="s">
        <v>746</v>
      </c>
      <c r="P4" s="194">
        <v>78</v>
      </c>
      <c r="Q4" s="41">
        <f t="shared" ref="Q4:Q10" si="9">IF(O4&gt;0,VLOOKUP(O4,Food_Database,2,FALSE)*P4/convert,)</f>
        <v>206.7</v>
      </c>
      <c r="R4" s="38"/>
      <c r="S4" s="45" t="s">
        <v>746</v>
      </c>
      <c r="T4" s="194">
        <v>78</v>
      </c>
      <c r="U4" s="41">
        <f t="shared" ref="U4:U10" si="10">IF(S4&gt;0,VLOOKUP(S4,Food_Database,2,FALSE)*T4/convert,)</f>
        <v>206.7</v>
      </c>
      <c r="V4" s="38"/>
      <c r="W4" s="45" t="s">
        <v>746</v>
      </c>
      <c r="X4" s="194">
        <v>91</v>
      </c>
      <c r="Y4" s="41">
        <f t="shared" ref="Y4:Y10" si="11">IF(W4&gt;0,VLOOKUP(W4,Food_Database,2,FALSE)*X4/convert,)</f>
        <v>241.15</v>
      </c>
      <c r="Z4" s="38"/>
      <c r="AA4" s="45" t="s">
        <v>746</v>
      </c>
      <c r="AB4" s="194">
        <v>52</v>
      </c>
      <c r="AC4" s="41">
        <f t="shared" ref="AC4:AC10" si="12">IF(AA4&gt;0,VLOOKUP(AA4,Food_Database,2,FALSE)*AB4/convert,)</f>
        <v>137.80000000000001</v>
      </c>
      <c r="AD4" s="38"/>
    </row>
    <row r="5" spans="1:30">
      <c r="A5" s="117">
        <v>2</v>
      </c>
      <c r="B5" s="46" t="str">
        <f t="shared" ca="1" si="0"/>
        <v>* CEREALS MULTIGRAIN OATS,DRY</v>
      </c>
      <c r="C5" s="105">
        <f t="shared" ca="1" si="1"/>
        <v>120</v>
      </c>
      <c r="D5" s="49">
        <f t="shared" ca="1" si="2"/>
        <v>110</v>
      </c>
      <c r="E5" s="105">
        <f t="shared" ca="1" si="3"/>
        <v>123.34141497504163</v>
      </c>
      <c r="F5" s="105">
        <f t="shared" ca="1" si="4"/>
        <v>10</v>
      </c>
      <c r="G5" s="105">
        <f t="shared" ca="1" si="5"/>
        <v>130</v>
      </c>
      <c r="H5" s="105">
        <f t="shared" ca="1" si="6"/>
        <v>120</v>
      </c>
      <c r="I5" s="41">
        <f t="shared" ca="1" si="7"/>
        <v>399.6</v>
      </c>
      <c r="J5" s="118"/>
      <c r="K5" s="46" t="s">
        <v>653</v>
      </c>
      <c r="L5" s="195">
        <v>110</v>
      </c>
      <c r="M5" s="41">
        <f t="shared" si="8"/>
        <v>366.3</v>
      </c>
      <c r="N5" s="38"/>
      <c r="O5" s="46" t="s">
        <v>653</v>
      </c>
      <c r="P5" s="195">
        <v>60</v>
      </c>
      <c r="Q5" s="41">
        <f t="shared" si="9"/>
        <v>199.8</v>
      </c>
      <c r="R5" s="38"/>
      <c r="S5" s="46" t="s">
        <v>653</v>
      </c>
      <c r="T5" s="195">
        <v>60</v>
      </c>
      <c r="U5" s="41">
        <f t="shared" si="10"/>
        <v>199.8</v>
      </c>
      <c r="V5" s="38"/>
      <c r="W5" s="46" t="s">
        <v>653</v>
      </c>
      <c r="X5" s="195">
        <v>85</v>
      </c>
      <c r="Y5" s="41">
        <f t="shared" si="11"/>
        <v>283.05</v>
      </c>
      <c r="Z5" s="38"/>
      <c r="AA5" s="46" t="s">
        <v>653</v>
      </c>
      <c r="AB5" s="195">
        <v>75</v>
      </c>
      <c r="AC5" s="41">
        <f t="shared" si="12"/>
        <v>249.75</v>
      </c>
      <c r="AD5" s="38"/>
    </row>
    <row r="6" spans="1:30">
      <c r="A6" s="117">
        <v>3</v>
      </c>
      <c r="B6" s="46" t="str">
        <f t="shared" ca="1" si="0"/>
        <v>* PROTEIN POWDER (SCOOP)</v>
      </c>
      <c r="C6" s="105">
        <f t="shared" ca="1" si="1"/>
        <v>52.5</v>
      </c>
      <c r="D6" s="49">
        <f t="shared" ca="1" si="2"/>
        <v>45</v>
      </c>
      <c r="E6" s="105">
        <f t="shared" ca="1" si="3"/>
        <v>50.457851580698843</v>
      </c>
      <c r="F6" s="105">
        <f t="shared" ca="1" si="4"/>
        <v>7.5</v>
      </c>
      <c r="G6" s="105">
        <f t="shared" ca="1" si="5"/>
        <v>52.5</v>
      </c>
      <c r="H6" s="105">
        <f t="shared" ca="1" si="6"/>
        <v>45</v>
      </c>
      <c r="I6" s="41">
        <f t="shared" ca="1" si="7"/>
        <v>210</v>
      </c>
      <c r="J6" s="118"/>
      <c r="K6" s="46" t="s">
        <v>469</v>
      </c>
      <c r="L6" s="195">
        <v>45</v>
      </c>
      <c r="M6" s="41">
        <f t="shared" si="8"/>
        <v>180</v>
      </c>
      <c r="N6" s="38"/>
      <c r="O6" s="46" t="s">
        <v>469</v>
      </c>
      <c r="P6" s="195">
        <v>50</v>
      </c>
      <c r="Q6" s="41">
        <f t="shared" si="9"/>
        <v>200</v>
      </c>
      <c r="R6" s="38"/>
      <c r="S6" s="46" t="s">
        <v>469</v>
      </c>
      <c r="T6" s="195">
        <v>60</v>
      </c>
      <c r="U6" s="41">
        <f t="shared" si="10"/>
        <v>240</v>
      </c>
      <c r="V6" s="38"/>
      <c r="W6" s="46" t="s">
        <v>469</v>
      </c>
      <c r="X6" s="195">
        <v>52.5</v>
      </c>
      <c r="Y6" s="41">
        <f t="shared" si="11"/>
        <v>210</v>
      </c>
      <c r="Z6" s="38"/>
      <c r="AA6" s="46" t="s">
        <v>469</v>
      </c>
      <c r="AB6" s="195">
        <v>52</v>
      </c>
      <c r="AC6" s="41">
        <f t="shared" si="12"/>
        <v>208</v>
      </c>
      <c r="AD6" s="38"/>
    </row>
    <row r="7" spans="1:30">
      <c r="A7" s="117">
        <v>4</v>
      </c>
      <c r="B7" s="46" t="str">
        <f t="shared" ca="1" si="0"/>
        <v>* MILK, SKIM</v>
      </c>
      <c r="C7" s="105">
        <f t="shared" ca="1" si="1"/>
        <v>214.375</v>
      </c>
      <c r="D7" s="49">
        <f t="shared" ca="1" si="2"/>
        <v>183.75</v>
      </c>
      <c r="E7" s="105">
        <f t="shared" ca="1" si="3"/>
        <v>206.03622728785362</v>
      </c>
      <c r="F7" s="105">
        <f t="shared" ca="1" si="4"/>
        <v>30.625</v>
      </c>
      <c r="G7" s="105">
        <f t="shared" ca="1" si="5"/>
        <v>214.375</v>
      </c>
      <c r="H7" s="105">
        <f t="shared" ca="1" si="6"/>
        <v>183.75</v>
      </c>
      <c r="I7" s="41">
        <f t="shared" ca="1" si="7"/>
        <v>72.887500000000003</v>
      </c>
      <c r="J7" s="38"/>
      <c r="K7" s="46" t="s">
        <v>179</v>
      </c>
      <c r="L7" s="195">
        <v>183.75</v>
      </c>
      <c r="M7" s="41">
        <f t="shared" si="8"/>
        <v>62.475000000000001</v>
      </c>
      <c r="N7" s="38"/>
      <c r="O7" s="46" t="s">
        <v>179</v>
      </c>
      <c r="P7" s="195">
        <v>244</v>
      </c>
      <c r="Q7" s="41">
        <f t="shared" si="9"/>
        <v>82.96</v>
      </c>
      <c r="R7" s="38"/>
      <c r="S7" s="46" t="s">
        <v>179</v>
      </c>
      <c r="T7" s="195">
        <v>245</v>
      </c>
      <c r="U7" s="41">
        <f t="shared" si="10"/>
        <v>83.3</v>
      </c>
      <c r="V7" s="38"/>
      <c r="W7" s="46" t="s">
        <v>179</v>
      </c>
      <c r="X7" s="195">
        <v>214.375</v>
      </c>
      <c r="Y7" s="41">
        <f t="shared" si="11"/>
        <v>72.887500000000003</v>
      </c>
      <c r="Z7" s="38"/>
      <c r="AA7" s="46" t="s">
        <v>179</v>
      </c>
      <c r="AB7" s="195">
        <v>214.375</v>
      </c>
      <c r="AC7" s="41">
        <f t="shared" si="12"/>
        <v>72.887500000000003</v>
      </c>
      <c r="AD7" s="38"/>
    </row>
    <row r="8" spans="1:30">
      <c r="A8" s="117">
        <v>5</v>
      </c>
      <c r="B8" s="46">
        <f t="shared" ca="1" si="0"/>
        <v>0</v>
      </c>
      <c r="C8" s="105">
        <f t="shared" ca="1" si="1"/>
        <v>0</v>
      </c>
      <c r="D8" s="49">
        <f t="shared" ca="1" si="2"/>
        <v>0</v>
      </c>
      <c r="E8" s="105">
        <f t="shared" ca="1" si="3"/>
        <v>0</v>
      </c>
      <c r="F8" s="105">
        <f t="shared" ca="1" si="4"/>
        <v>0</v>
      </c>
      <c r="G8" s="105">
        <f t="shared" ca="1" si="5"/>
        <v>0</v>
      </c>
      <c r="H8" s="105">
        <f t="shared" ca="1" si="6"/>
        <v>0</v>
      </c>
      <c r="I8" s="41">
        <f t="shared" ca="1" si="7"/>
        <v>0</v>
      </c>
      <c r="J8" s="3"/>
      <c r="K8" s="46"/>
      <c r="L8" s="195"/>
      <c r="M8" s="41">
        <f t="shared" si="8"/>
        <v>0</v>
      </c>
      <c r="N8" s="3"/>
      <c r="O8" s="46"/>
      <c r="P8" s="49"/>
      <c r="Q8" s="41">
        <f t="shared" si="9"/>
        <v>0</v>
      </c>
      <c r="R8" s="3"/>
      <c r="S8" s="46"/>
      <c r="T8" s="49"/>
      <c r="U8" s="41">
        <f t="shared" si="10"/>
        <v>0</v>
      </c>
      <c r="V8" s="3"/>
      <c r="W8" s="46"/>
      <c r="X8" s="49"/>
      <c r="Y8" s="41">
        <f t="shared" si="11"/>
        <v>0</v>
      </c>
      <c r="Z8" s="3"/>
      <c r="AA8" s="46" t="s">
        <v>250</v>
      </c>
      <c r="AB8" s="195">
        <v>40</v>
      </c>
      <c r="AC8" s="41">
        <f t="shared" si="12"/>
        <v>230</v>
      </c>
      <c r="AD8" s="3"/>
    </row>
    <row r="9" spans="1:30">
      <c r="A9" s="117">
        <v>6</v>
      </c>
      <c r="B9" s="46">
        <f t="shared" ca="1" si="0"/>
        <v>0</v>
      </c>
      <c r="C9" s="105">
        <f t="shared" ca="1" si="1"/>
        <v>0</v>
      </c>
      <c r="D9" s="49">
        <f t="shared" ca="1" si="2"/>
        <v>0</v>
      </c>
      <c r="E9" s="105">
        <f t="shared" ca="1" si="3"/>
        <v>0</v>
      </c>
      <c r="F9" s="105">
        <f t="shared" ca="1" si="4"/>
        <v>0</v>
      </c>
      <c r="G9" s="105">
        <f t="shared" ca="1" si="5"/>
        <v>0</v>
      </c>
      <c r="H9" s="105">
        <f t="shared" ca="1" si="6"/>
        <v>0</v>
      </c>
      <c r="I9" s="41">
        <f t="shared" ca="1" si="7"/>
        <v>0</v>
      </c>
      <c r="J9" s="4"/>
      <c r="K9" s="46"/>
      <c r="L9" s="49"/>
      <c r="M9" s="41">
        <f t="shared" si="8"/>
        <v>0</v>
      </c>
      <c r="N9" s="4"/>
      <c r="O9" s="46"/>
      <c r="P9" s="49"/>
      <c r="Q9" s="41">
        <f t="shared" si="9"/>
        <v>0</v>
      </c>
      <c r="R9" s="4"/>
      <c r="S9" s="46"/>
      <c r="T9" s="49"/>
      <c r="U9" s="41">
        <f t="shared" si="10"/>
        <v>0</v>
      </c>
      <c r="V9" s="4"/>
      <c r="W9" s="46"/>
      <c r="X9" s="49"/>
      <c r="Y9" s="41">
        <f t="shared" si="11"/>
        <v>0</v>
      </c>
      <c r="Z9" s="4"/>
      <c r="AA9" s="46"/>
      <c r="AB9" s="49"/>
      <c r="AC9" s="41">
        <f t="shared" si="12"/>
        <v>0</v>
      </c>
      <c r="AD9" s="4"/>
    </row>
    <row r="10" spans="1:30" ht="13.5" thickBot="1">
      <c r="A10" s="117">
        <v>7</v>
      </c>
      <c r="B10" s="47">
        <f t="shared" ca="1" si="0"/>
        <v>0</v>
      </c>
      <c r="C10" s="106">
        <f t="shared" ca="1" si="1"/>
        <v>0</v>
      </c>
      <c r="D10" s="50">
        <f t="shared" ca="1" si="2"/>
        <v>0</v>
      </c>
      <c r="E10" s="106">
        <f t="shared" ca="1" si="3"/>
        <v>0</v>
      </c>
      <c r="F10" s="106">
        <f t="shared" ca="1" si="4"/>
        <v>0</v>
      </c>
      <c r="G10" s="106">
        <f t="shared" ca="1" si="5"/>
        <v>0</v>
      </c>
      <c r="H10" s="106">
        <f t="shared" ca="1" si="6"/>
        <v>0</v>
      </c>
      <c r="I10" s="44">
        <f t="shared" ca="1" si="7"/>
        <v>0</v>
      </c>
      <c r="J10" s="4"/>
      <c r="K10" s="47"/>
      <c r="L10" s="50"/>
      <c r="M10" s="44">
        <f t="shared" si="8"/>
        <v>0</v>
      </c>
      <c r="N10" s="3"/>
      <c r="O10" s="47"/>
      <c r="P10" s="50"/>
      <c r="Q10" s="44">
        <f t="shared" si="9"/>
        <v>0</v>
      </c>
      <c r="R10" s="3"/>
      <c r="S10" s="47"/>
      <c r="T10" s="50"/>
      <c r="U10" s="44">
        <f t="shared" si="10"/>
        <v>0</v>
      </c>
      <c r="V10" s="3"/>
      <c r="W10" s="47"/>
      <c r="X10" s="50"/>
      <c r="Y10" s="44">
        <f t="shared" si="11"/>
        <v>0</v>
      </c>
      <c r="Z10" s="3"/>
      <c r="AA10" s="47"/>
      <c r="AB10" s="50"/>
      <c r="AC10" s="44">
        <f t="shared" si="12"/>
        <v>0</v>
      </c>
      <c r="AD10" s="3"/>
    </row>
    <row r="11" spans="1:30" ht="13.5" thickBot="1">
      <c r="A11" s="117">
        <v>8</v>
      </c>
      <c r="B11" s="77" t="s">
        <v>268</v>
      </c>
      <c r="C11" s="3"/>
      <c r="D11" s="3"/>
      <c r="E11" s="3"/>
      <c r="F11" s="3"/>
      <c r="G11" s="3"/>
      <c r="H11" s="3"/>
      <c r="I11" s="3"/>
      <c r="J11" s="3"/>
      <c r="K11" s="77" t="s">
        <v>268</v>
      </c>
      <c r="L11" s="3"/>
      <c r="M11" s="3"/>
      <c r="N11" s="3"/>
      <c r="O11" s="77" t="s">
        <v>268</v>
      </c>
      <c r="P11" s="3"/>
      <c r="Q11" s="3"/>
      <c r="R11" s="3"/>
      <c r="S11" s="77" t="s">
        <v>268</v>
      </c>
      <c r="T11" s="3"/>
      <c r="U11" s="3"/>
      <c r="V11" s="3"/>
      <c r="W11" s="77" t="s">
        <v>268</v>
      </c>
      <c r="X11" s="3"/>
      <c r="Y11" s="3"/>
      <c r="Z11" s="3"/>
      <c r="AA11" s="77" t="s">
        <v>268</v>
      </c>
      <c r="AB11" s="3"/>
      <c r="AC11" s="3"/>
      <c r="AD11" s="3"/>
    </row>
    <row r="12" spans="1:30" ht="14.25" thickTop="1" thickBot="1">
      <c r="A12" s="117">
        <v>9</v>
      </c>
      <c r="B12" s="78"/>
      <c r="C12" s="79"/>
      <c r="D12" s="79" t="s">
        <v>1271</v>
      </c>
      <c r="E12" s="79"/>
      <c r="F12" s="79"/>
      <c r="G12" s="79"/>
      <c r="H12" s="79"/>
      <c r="I12" s="81">
        <f ca="1">SUM(I15:I21)</f>
        <v>543.91</v>
      </c>
      <c r="J12" s="3"/>
      <c r="K12" s="78"/>
      <c r="L12" s="79" t="s">
        <v>1271</v>
      </c>
      <c r="M12" s="81">
        <f>SUM(M15:M21)</f>
        <v>497.35625000000005</v>
      </c>
      <c r="N12" s="3"/>
      <c r="O12" s="78"/>
      <c r="P12" s="79" t="s">
        <v>1271</v>
      </c>
      <c r="Q12" s="81">
        <f>SUM(Q15:Q21)</f>
        <v>557.36500000000001</v>
      </c>
      <c r="R12" s="3"/>
      <c r="S12" s="78"/>
      <c r="T12" s="79" t="s">
        <v>1271</v>
      </c>
      <c r="U12" s="81">
        <f>SUM(U15:U21)</f>
        <v>557.36500000000001</v>
      </c>
      <c r="V12" s="3"/>
      <c r="W12" s="78"/>
      <c r="X12" s="79" t="s">
        <v>1271</v>
      </c>
      <c r="Y12" s="81">
        <f>SUM(Y15:Y21)</f>
        <v>573.91</v>
      </c>
      <c r="Z12" s="3"/>
      <c r="AA12" s="78"/>
      <c r="AB12" s="79" t="s">
        <v>1271</v>
      </c>
      <c r="AC12" s="81">
        <f>SUM(AC15:AC21)</f>
        <v>532.87</v>
      </c>
      <c r="AD12" s="3"/>
    </row>
    <row r="13" spans="1:30" ht="13.5" thickBot="1">
      <c r="A13" s="117">
        <v>10</v>
      </c>
      <c r="B13" s="82" t="s">
        <v>200</v>
      </c>
      <c r="C13" s="83"/>
      <c r="D13" s="83" t="s">
        <v>1270</v>
      </c>
      <c r="E13" s="83"/>
      <c r="F13" s="83"/>
      <c r="G13" s="83"/>
      <c r="H13" s="83"/>
      <c r="I13" s="83"/>
      <c r="J13" s="3"/>
      <c r="K13" s="82" t="s">
        <v>1479</v>
      </c>
      <c r="L13" s="83" t="s">
        <v>1270</v>
      </c>
      <c r="M13" s="83"/>
      <c r="N13" s="3"/>
      <c r="O13" s="82" t="s">
        <v>1479</v>
      </c>
      <c r="P13" s="83" t="s">
        <v>1270</v>
      </c>
      <c r="Q13" s="83"/>
      <c r="R13" s="3"/>
      <c r="S13" s="82" t="s">
        <v>1479</v>
      </c>
      <c r="T13" s="83" t="s">
        <v>1270</v>
      </c>
      <c r="U13" s="83"/>
      <c r="V13" s="3"/>
      <c r="W13" s="82" t="s">
        <v>1479</v>
      </c>
      <c r="X13" s="83" t="s">
        <v>1270</v>
      </c>
      <c r="Y13" s="83"/>
      <c r="Z13" s="3"/>
      <c r="AA13" s="82" t="s">
        <v>1479</v>
      </c>
      <c r="AB13" s="83" t="s">
        <v>1270</v>
      </c>
      <c r="AC13" s="83"/>
      <c r="AD13" s="3"/>
    </row>
    <row r="14" spans="1:30" ht="13.5" thickBot="1">
      <c r="A14" s="117">
        <v>11</v>
      </c>
      <c r="B14" s="16" t="s">
        <v>1269</v>
      </c>
      <c r="C14" s="37"/>
      <c r="D14" s="37" t="str">
        <f>PROPER(units)</f>
        <v>Grams</v>
      </c>
      <c r="E14" s="37"/>
      <c r="F14" s="37"/>
      <c r="G14" s="37"/>
      <c r="H14" s="37"/>
      <c r="I14" s="36" t="s">
        <v>1474</v>
      </c>
      <c r="J14" s="3"/>
      <c r="K14" s="16" t="s">
        <v>1269</v>
      </c>
      <c r="L14" s="37" t="str">
        <f>PROPER(units)</f>
        <v>Grams</v>
      </c>
      <c r="M14" s="36" t="s">
        <v>1474</v>
      </c>
      <c r="N14" s="3"/>
      <c r="O14" s="16" t="s">
        <v>1269</v>
      </c>
      <c r="P14" s="37" t="str">
        <f>PROPER(units)</f>
        <v>Grams</v>
      </c>
      <c r="Q14" s="36" t="s">
        <v>1474</v>
      </c>
      <c r="R14" s="3"/>
      <c r="S14" s="16" t="s">
        <v>1269</v>
      </c>
      <c r="T14" s="37" t="str">
        <f>PROPER(units)</f>
        <v>Grams</v>
      </c>
      <c r="U14" s="36" t="s">
        <v>1474</v>
      </c>
      <c r="V14" s="3"/>
      <c r="W14" s="16" t="s">
        <v>1269</v>
      </c>
      <c r="X14" s="37" t="str">
        <f>PROPER(units)</f>
        <v>Grams</v>
      </c>
      <c r="Y14" s="36" t="s">
        <v>1474</v>
      </c>
      <c r="Z14" s="3"/>
      <c r="AA14" s="16" t="s">
        <v>1269</v>
      </c>
      <c r="AB14" s="37" t="str">
        <f>PROPER(units)</f>
        <v>Grams</v>
      </c>
      <c r="AC14" s="36" t="s">
        <v>1474</v>
      </c>
      <c r="AD14" s="3"/>
    </row>
    <row r="15" spans="1:30">
      <c r="A15" s="117">
        <v>12</v>
      </c>
      <c r="B15" s="45" t="str">
        <f t="shared" ref="B15:B21" ca="1" si="13">INDEX(INDIRECT(Body.db),A15,1)</f>
        <v>CEREALS GRANOLA OATS &amp; HONEY</v>
      </c>
      <c r="C15" s="104">
        <f t="shared" ref="C15:C21" ca="1" si="14">IF(B15&gt;0,IF(G15-E15&gt;E15-H15,H15,G15),)</f>
        <v>12</v>
      </c>
      <c r="D15" s="48">
        <f t="shared" ref="D15:D21" ca="1" si="15">INDEX(INDIRECT(VLOOKUP(Body.type,Body_type,5,FALSE)),A15,2)</f>
        <v>12</v>
      </c>
      <c r="E15" s="104">
        <f t="shared" ref="E15:E21" ca="1" si="16">IF(B15&gt;0,D15*$J$4,)</f>
        <v>13.455427088186358</v>
      </c>
      <c r="F15" s="104">
        <f t="shared" ref="F15:F21" ca="1" si="17">IF(B15&gt;0,VLOOKUP(B15,Food_Database,9,FALSE),)</f>
        <v>12</v>
      </c>
      <c r="G15" s="104">
        <f t="shared" ref="G15:G21" ca="1" si="18">IF(B15&gt;0,CEILING(E15,F15),)</f>
        <v>24</v>
      </c>
      <c r="H15" s="104">
        <f t="shared" ref="H15:H21" ca="1" si="19">IF(B15&gt;0,FLOOR(E15,F15),)</f>
        <v>12</v>
      </c>
      <c r="I15" s="41">
        <f t="shared" ref="I15:I21" ca="1" si="20">IF(B15&gt;0,VLOOKUP(B15,Food_Database,2,FALSE)*C15/convert,)</f>
        <v>51.48</v>
      </c>
      <c r="J15" s="3"/>
      <c r="K15" s="46" t="s">
        <v>723</v>
      </c>
      <c r="L15" s="195">
        <v>12</v>
      </c>
      <c r="M15" s="41">
        <f t="shared" ref="M15:M21" si="21">IF(K15&gt;0,VLOOKUP(K15,Food_Database,2,FALSE)*L15/convert,)</f>
        <v>51.48</v>
      </c>
      <c r="N15" s="3"/>
      <c r="O15" s="46" t="s">
        <v>250</v>
      </c>
      <c r="P15" s="195">
        <v>23.75</v>
      </c>
      <c r="Q15" s="41">
        <f t="shared" ref="Q15:Q21" si="22">IF(O15&gt;0,VLOOKUP(O15,Food_Database,2,FALSE)*P15/convert,)</f>
        <v>136.5625</v>
      </c>
      <c r="R15" s="3"/>
      <c r="S15" s="45" t="s">
        <v>250</v>
      </c>
      <c r="T15" s="194">
        <v>23.75</v>
      </c>
      <c r="U15" s="41">
        <f t="shared" ref="U15:U21" si="23">IF(S15&gt;0,VLOOKUP(S15,Food_Database,2,FALSE)*T15/convert,)</f>
        <v>136.5625</v>
      </c>
      <c r="V15" s="3"/>
      <c r="W15" s="45" t="s">
        <v>723</v>
      </c>
      <c r="X15" s="194">
        <v>12</v>
      </c>
      <c r="Y15" s="41">
        <f t="shared" ref="Y15:Y21" si="24">IF(W15&gt;0,VLOOKUP(W15,Food_Database,2,FALSE)*X15/convert,)</f>
        <v>51.48</v>
      </c>
      <c r="Z15" s="3"/>
      <c r="AA15" s="45" t="s">
        <v>723</v>
      </c>
      <c r="AB15" s="194">
        <v>12</v>
      </c>
      <c r="AC15" s="41">
        <f t="shared" ref="AC15:AC21" si="25">IF(AA15&gt;0,VLOOKUP(AA15,Food_Database,2,FALSE)*AB15/convert,)</f>
        <v>51.48</v>
      </c>
      <c r="AD15" s="3"/>
    </row>
    <row r="16" spans="1:30">
      <c r="A16" s="117">
        <v>13</v>
      </c>
      <c r="B16" s="46" t="str">
        <f t="shared" ca="1" si="13"/>
        <v>* PROTEIN POWDER (SCOOP)</v>
      </c>
      <c r="C16" s="105">
        <f t="shared" ca="1" si="14"/>
        <v>90</v>
      </c>
      <c r="D16" s="49">
        <f t="shared" ca="1" si="15"/>
        <v>82.5</v>
      </c>
      <c r="E16" s="105">
        <f t="shared" ca="1" si="16"/>
        <v>92.506061231281222</v>
      </c>
      <c r="F16" s="105">
        <f t="shared" ca="1" si="17"/>
        <v>7.5</v>
      </c>
      <c r="G16" s="105">
        <f t="shared" ca="1" si="18"/>
        <v>97.5</v>
      </c>
      <c r="H16" s="105">
        <f t="shared" ca="1" si="19"/>
        <v>90</v>
      </c>
      <c r="I16" s="41">
        <f t="shared" ca="1" si="20"/>
        <v>360</v>
      </c>
      <c r="J16" s="3"/>
      <c r="K16" s="46" t="s">
        <v>469</v>
      </c>
      <c r="L16" s="195">
        <v>82.5</v>
      </c>
      <c r="M16" s="41">
        <f t="shared" si="21"/>
        <v>330</v>
      </c>
      <c r="N16" s="3"/>
      <c r="O16" s="46" t="s">
        <v>723</v>
      </c>
      <c r="P16" s="195">
        <v>12</v>
      </c>
      <c r="Q16" s="41">
        <f t="shared" si="22"/>
        <v>51.48</v>
      </c>
      <c r="R16" s="3"/>
      <c r="S16" s="46" t="s">
        <v>723</v>
      </c>
      <c r="T16" s="195">
        <v>12</v>
      </c>
      <c r="U16" s="41">
        <f t="shared" si="23"/>
        <v>51.48</v>
      </c>
      <c r="V16" s="3"/>
      <c r="W16" s="46" t="s">
        <v>469</v>
      </c>
      <c r="X16" s="195">
        <v>97.5</v>
      </c>
      <c r="Y16" s="41">
        <f t="shared" si="24"/>
        <v>390</v>
      </c>
      <c r="Z16" s="3"/>
      <c r="AA16" s="46" t="s">
        <v>469</v>
      </c>
      <c r="AB16" s="195">
        <v>97.5</v>
      </c>
      <c r="AC16" s="41">
        <f t="shared" si="25"/>
        <v>390</v>
      </c>
      <c r="AD16" s="3"/>
    </row>
    <row r="17" spans="1:30">
      <c r="A17" s="117">
        <v>14</v>
      </c>
      <c r="B17" s="46" t="str">
        <f t="shared" ca="1" si="13"/>
        <v>* STRAWBERRIES,RAW</v>
      </c>
      <c r="C17" s="105">
        <f t="shared" ca="1" si="14"/>
        <v>152</v>
      </c>
      <c r="D17" s="49">
        <f t="shared" ca="1" si="15"/>
        <v>133</v>
      </c>
      <c r="E17" s="105">
        <f t="shared" ca="1" si="16"/>
        <v>149.13098356073215</v>
      </c>
      <c r="F17" s="105">
        <f t="shared" ca="1" si="17"/>
        <v>19</v>
      </c>
      <c r="G17" s="105">
        <f t="shared" ca="1" si="18"/>
        <v>152</v>
      </c>
      <c r="H17" s="105">
        <f t="shared" ca="1" si="19"/>
        <v>133</v>
      </c>
      <c r="I17" s="41">
        <f t="shared" ca="1" si="20"/>
        <v>48.64</v>
      </c>
      <c r="J17" s="3"/>
      <c r="K17" s="46" t="s">
        <v>230</v>
      </c>
      <c r="L17" s="195">
        <v>133</v>
      </c>
      <c r="M17" s="41">
        <f t="shared" si="21"/>
        <v>42.56</v>
      </c>
      <c r="N17" s="3"/>
      <c r="O17" s="46" t="s">
        <v>469</v>
      </c>
      <c r="P17" s="195">
        <v>67.5</v>
      </c>
      <c r="Q17" s="41">
        <f t="shared" si="22"/>
        <v>270</v>
      </c>
      <c r="R17" s="3"/>
      <c r="S17" s="46" t="s">
        <v>469</v>
      </c>
      <c r="T17" s="195">
        <v>67.5</v>
      </c>
      <c r="U17" s="41">
        <f t="shared" si="23"/>
        <v>270</v>
      </c>
      <c r="V17" s="3"/>
      <c r="W17" s="46" t="s">
        <v>230</v>
      </c>
      <c r="X17" s="195">
        <v>152</v>
      </c>
      <c r="Y17" s="41">
        <f t="shared" si="24"/>
        <v>48.64</v>
      </c>
      <c r="Z17" s="3"/>
      <c r="AA17" s="46" t="s">
        <v>230</v>
      </c>
      <c r="AB17" s="195">
        <v>152</v>
      </c>
      <c r="AC17" s="41">
        <f t="shared" si="25"/>
        <v>48.64</v>
      </c>
      <c r="AD17" s="3"/>
    </row>
    <row r="18" spans="1:30">
      <c r="A18" s="117">
        <v>15</v>
      </c>
      <c r="B18" s="46" t="str">
        <f t="shared" ca="1" si="13"/>
        <v>BLUEBERRIES,RAW</v>
      </c>
      <c r="C18" s="105">
        <f t="shared" ca="1" si="14"/>
        <v>147</v>
      </c>
      <c r="D18" s="49">
        <f t="shared" ca="1" si="15"/>
        <v>128.625</v>
      </c>
      <c r="E18" s="105">
        <f t="shared" ca="1" si="16"/>
        <v>144.22535910149753</v>
      </c>
      <c r="F18" s="105">
        <f t="shared" ca="1" si="17"/>
        <v>18.375</v>
      </c>
      <c r="G18" s="105">
        <f t="shared" ca="1" si="18"/>
        <v>147</v>
      </c>
      <c r="H18" s="105">
        <f t="shared" ca="1" si="19"/>
        <v>128.625</v>
      </c>
      <c r="I18" s="41">
        <f t="shared" ca="1" si="20"/>
        <v>83.79</v>
      </c>
      <c r="J18" s="3"/>
      <c r="K18" s="46" t="s">
        <v>171</v>
      </c>
      <c r="L18" s="195">
        <v>128.625</v>
      </c>
      <c r="M18" s="41">
        <f t="shared" si="21"/>
        <v>73.316249999999997</v>
      </c>
      <c r="N18" s="3"/>
      <c r="O18" s="46" t="s">
        <v>230</v>
      </c>
      <c r="P18" s="195">
        <v>114</v>
      </c>
      <c r="Q18" s="41">
        <f t="shared" si="22"/>
        <v>36.479999999999997</v>
      </c>
      <c r="R18" s="3"/>
      <c r="S18" s="46" t="s">
        <v>230</v>
      </c>
      <c r="T18" s="195">
        <v>114</v>
      </c>
      <c r="U18" s="41">
        <f t="shared" si="23"/>
        <v>36.479999999999997</v>
      </c>
      <c r="V18" s="3"/>
      <c r="W18" s="46" t="s">
        <v>171</v>
      </c>
      <c r="X18" s="195">
        <v>147</v>
      </c>
      <c r="Y18" s="41">
        <f t="shared" si="24"/>
        <v>83.79</v>
      </c>
      <c r="Z18" s="3"/>
      <c r="AA18" s="46" t="s">
        <v>171</v>
      </c>
      <c r="AB18" s="195">
        <v>75</v>
      </c>
      <c r="AC18" s="41">
        <f t="shared" si="25"/>
        <v>42.75</v>
      </c>
      <c r="AD18" s="3"/>
    </row>
    <row r="19" spans="1:30">
      <c r="A19" s="117">
        <v>16</v>
      </c>
      <c r="B19" s="46">
        <f t="shared" ca="1" si="13"/>
        <v>0</v>
      </c>
      <c r="C19" s="105">
        <f t="shared" ca="1" si="14"/>
        <v>0</v>
      </c>
      <c r="D19" s="49">
        <f t="shared" ca="1" si="15"/>
        <v>0</v>
      </c>
      <c r="E19" s="105">
        <f t="shared" ca="1" si="16"/>
        <v>0</v>
      </c>
      <c r="F19" s="105">
        <f t="shared" ca="1" si="17"/>
        <v>0</v>
      </c>
      <c r="G19" s="105">
        <f t="shared" ca="1" si="18"/>
        <v>0</v>
      </c>
      <c r="H19" s="105">
        <f t="shared" ca="1" si="19"/>
        <v>0</v>
      </c>
      <c r="I19" s="41">
        <f t="shared" ca="1" si="20"/>
        <v>0</v>
      </c>
      <c r="J19" s="3"/>
      <c r="K19" s="46"/>
      <c r="L19" s="195"/>
      <c r="M19" s="41">
        <f t="shared" si="21"/>
        <v>0</v>
      </c>
      <c r="N19" s="3"/>
      <c r="O19" s="46" t="s">
        <v>171</v>
      </c>
      <c r="P19" s="195">
        <v>110.25</v>
      </c>
      <c r="Q19" s="41">
        <f t="shared" si="22"/>
        <v>62.842500000000001</v>
      </c>
      <c r="R19" s="3"/>
      <c r="S19" s="46" t="s">
        <v>171</v>
      </c>
      <c r="T19" s="195">
        <v>110.25</v>
      </c>
      <c r="U19" s="41">
        <f t="shared" si="23"/>
        <v>62.842500000000001</v>
      </c>
      <c r="V19" s="3"/>
      <c r="W19" s="46"/>
      <c r="X19" s="49"/>
      <c r="Y19" s="41">
        <f t="shared" si="24"/>
        <v>0</v>
      </c>
      <c r="Z19" s="3"/>
      <c r="AA19" s="46"/>
      <c r="AB19" s="49"/>
      <c r="AC19" s="41">
        <f t="shared" si="25"/>
        <v>0</v>
      </c>
      <c r="AD19" s="3"/>
    </row>
    <row r="20" spans="1:30">
      <c r="A20" s="117">
        <v>17</v>
      </c>
      <c r="B20" s="46">
        <f t="shared" ca="1" si="13"/>
        <v>0</v>
      </c>
      <c r="C20" s="105">
        <f t="shared" ca="1" si="14"/>
        <v>0</v>
      </c>
      <c r="D20" s="49">
        <f t="shared" ca="1" si="15"/>
        <v>0</v>
      </c>
      <c r="E20" s="105">
        <f t="shared" ca="1" si="16"/>
        <v>0</v>
      </c>
      <c r="F20" s="105">
        <f t="shared" ca="1" si="17"/>
        <v>0</v>
      </c>
      <c r="G20" s="105">
        <f t="shared" ca="1" si="18"/>
        <v>0</v>
      </c>
      <c r="H20" s="105">
        <f t="shared" ca="1" si="19"/>
        <v>0</v>
      </c>
      <c r="I20" s="41">
        <f t="shared" ca="1" si="20"/>
        <v>0</v>
      </c>
      <c r="J20" s="3"/>
      <c r="K20" s="46"/>
      <c r="L20" s="195"/>
      <c r="M20" s="41">
        <f t="shared" si="21"/>
        <v>0</v>
      </c>
      <c r="N20" s="3"/>
      <c r="O20" s="46"/>
      <c r="P20" s="195"/>
      <c r="Q20" s="41">
        <f t="shared" si="22"/>
        <v>0</v>
      </c>
      <c r="R20" s="3"/>
      <c r="S20" s="46"/>
      <c r="T20" s="49"/>
      <c r="U20" s="41">
        <f t="shared" si="23"/>
        <v>0</v>
      </c>
      <c r="V20" s="3"/>
      <c r="W20" s="46"/>
      <c r="X20" s="49"/>
      <c r="Y20" s="41">
        <f t="shared" si="24"/>
        <v>0</v>
      </c>
      <c r="Z20" s="3"/>
      <c r="AA20" s="46"/>
      <c r="AB20" s="49"/>
      <c r="AC20" s="41">
        <f t="shared" si="25"/>
        <v>0</v>
      </c>
      <c r="AD20" s="3"/>
    </row>
    <row r="21" spans="1:30" ht="13.5" thickBot="1">
      <c r="A21" s="117">
        <v>18</v>
      </c>
      <c r="B21" s="47">
        <f t="shared" ca="1" si="13"/>
        <v>0</v>
      </c>
      <c r="C21" s="106">
        <f t="shared" ca="1" si="14"/>
        <v>0</v>
      </c>
      <c r="D21" s="50">
        <f t="shared" ca="1" si="15"/>
        <v>0</v>
      </c>
      <c r="E21" s="106">
        <f t="shared" ca="1" si="16"/>
        <v>0</v>
      </c>
      <c r="F21" s="106">
        <f t="shared" ca="1" si="17"/>
        <v>0</v>
      </c>
      <c r="G21" s="106">
        <f t="shared" ca="1" si="18"/>
        <v>0</v>
      </c>
      <c r="H21" s="106">
        <f t="shared" ca="1" si="19"/>
        <v>0</v>
      </c>
      <c r="I21" s="44">
        <f t="shared" ca="1" si="20"/>
        <v>0</v>
      </c>
      <c r="J21" s="3"/>
      <c r="K21" s="47"/>
      <c r="L21" s="50"/>
      <c r="M21" s="44">
        <f t="shared" si="21"/>
        <v>0</v>
      </c>
      <c r="N21" s="3"/>
      <c r="O21" s="47"/>
      <c r="P21" s="50"/>
      <c r="Q21" s="44">
        <f t="shared" si="22"/>
        <v>0</v>
      </c>
      <c r="R21" s="3"/>
      <c r="S21" s="47"/>
      <c r="T21" s="50"/>
      <c r="U21" s="44">
        <f t="shared" si="23"/>
        <v>0</v>
      </c>
      <c r="V21" s="3"/>
      <c r="W21" s="47"/>
      <c r="X21" s="50"/>
      <c r="Y21" s="44">
        <f t="shared" si="24"/>
        <v>0</v>
      </c>
      <c r="Z21" s="3"/>
      <c r="AA21" s="47"/>
      <c r="AB21" s="50"/>
      <c r="AC21" s="44">
        <f t="shared" si="25"/>
        <v>0</v>
      </c>
      <c r="AD21" s="3"/>
    </row>
    <row r="22" spans="1:30" ht="13.5" thickBot="1">
      <c r="A22" s="117">
        <v>19</v>
      </c>
      <c r="B22" s="77" t="s">
        <v>268</v>
      </c>
      <c r="C22" s="3"/>
      <c r="D22" s="3"/>
      <c r="E22" s="3"/>
      <c r="F22" s="3"/>
      <c r="G22" s="3"/>
      <c r="H22" s="3"/>
      <c r="I22" s="3"/>
      <c r="J22" s="3"/>
      <c r="K22" s="77" t="s">
        <v>268</v>
      </c>
      <c r="L22" s="3"/>
      <c r="M22" s="3"/>
      <c r="N22" s="3"/>
      <c r="O22" s="77" t="s">
        <v>268</v>
      </c>
      <c r="P22" s="3"/>
      <c r="Q22" s="3"/>
      <c r="R22" s="3"/>
      <c r="S22" s="77" t="s">
        <v>268</v>
      </c>
      <c r="T22" s="3"/>
      <c r="U22" s="3"/>
      <c r="V22" s="3"/>
      <c r="W22" s="77" t="s">
        <v>268</v>
      </c>
      <c r="X22" s="3"/>
      <c r="Y22" s="3"/>
      <c r="Z22" s="3"/>
      <c r="AA22" s="77" t="s">
        <v>268</v>
      </c>
      <c r="AB22" s="3"/>
      <c r="AC22" s="3"/>
      <c r="AD22" s="3"/>
    </row>
    <row r="23" spans="1:30" ht="14.25" thickTop="1" thickBot="1">
      <c r="A23" s="117">
        <v>20</v>
      </c>
      <c r="B23" s="78"/>
      <c r="C23" s="79"/>
      <c r="D23" s="79" t="s">
        <v>1271</v>
      </c>
      <c r="E23" s="79"/>
      <c r="F23" s="79"/>
      <c r="G23" s="79"/>
      <c r="H23" s="79"/>
      <c r="I23" s="81">
        <f ca="1">SUM(I26:I32)</f>
        <v>457.34500000000003</v>
      </c>
      <c r="J23" s="3"/>
      <c r="K23" s="78"/>
      <c r="L23" s="79" t="s">
        <v>1271</v>
      </c>
      <c r="M23" s="81">
        <f>SUM(M26:M32)</f>
        <v>443.05</v>
      </c>
      <c r="N23" s="3"/>
      <c r="O23" s="78"/>
      <c r="P23" s="79" t="s">
        <v>1271</v>
      </c>
      <c r="Q23" s="81">
        <f>SUM(Q26:Q32)</f>
        <v>443.05</v>
      </c>
      <c r="R23" s="3"/>
      <c r="S23" s="78"/>
      <c r="T23" s="79" t="s">
        <v>1271</v>
      </c>
      <c r="U23" s="81">
        <f>SUM(U26:U32)</f>
        <v>604.98</v>
      </c>
      <c r="V23" s="3"/>
      <c r="W23" s="78"/>
      <c r="X23" s="79" t="s">
        <v>1271</v>
      </c>
      <c r="Y23" s="81">
        <f>SUM(Y26:Y32)</f>
        <v>504.13249999999999</v>
      </c>
      <c r="Z23" s="3"/>
      <c r="AA23" s="78"/>
      <c r="AB23" s="79" t="s">
        <v>1271</v>
      </c>
      <c r="AC23" s="81">
        <f>SUM(AC26:AC32)</f>
        <v>508</v>
      </c>
      <c r="AD23" s="3"/>
    </row>
    <row r="24" spans="1:30" ht="13.5" thickBot="1">
      <c r="A24" s="117">
        <v>21</v>
      </c>
      <c r="B24" s="82" t="s">
        <v>1483</v>
      </c>
      <c r="C24" s="83"/>
      <c r="D24" s="83" t="s">
        <v>1270</v>
      </c>
      <c r="E24" s="83"/>
      <c r="F24" s="83"/>
      <c r="G24" s="83"/>
      <c r="H24" s="83"/>
      <c r="I24" s="83"/>
      <c r="J24" s="3"/>
      <c r="K24" s="82" t="s">
        <v>1483</v>
      </c>
      <c r="L24" s="83" t="s">
        <v>1270</v>
      </c>
      <c r="M24" s="83"/>
      <c r="N24" s="3"/>
      <c r="O24" s="82" t="s">
        <v>1483</v>
      </c>
      <c r="P24" s="83" t="s">
        <v>1270</v>
      </c>
      <c r="Q24" s="83"/>
      <c r="R24" s="3"/>
      <c r="S24" s="82" t="s">
        <v>1483</v>
      </c>
      <c r="T24" s="83" t="s">
        <v>1270</v>
      </c>
      <c r="U24" s="83"/>
      <c r="V24" s="3"/>
      <c r="W24" s="82" t="s">
        <v>1483</v>
      </c>
      <c r="X24" s="83" t="s">
        <v>1270</v>
      </c>
      <c r="Y24" s="83"/>
      <c r="Z24" s="3"/>
      <c r="AA24" s="82" t="s">
        <v>1483</v>
      </c>
      <c r="AB24" s="83" t="s">
        <v>1270</v>
      </c>
      <c r="AC24" s="83"/>
      <c r="AD24" s="3"/>
    </row>
    <row r="25" spans="1:30" ht="13.5" thickBot="1">
      <c r="A25" s="117">
        <v>22</v>
      </c>
      <c r="B25" s="16" t="s">
        <v>1269</v>
      </c>
      <c r="C25" s="37"/>
      <c r="D25" s="37" t="str">
        <f>PROPER(units)</f>
        <v>Grams</v>
      </c>
      <c r="E25" s="37"/>
      <c r="F25" s="37"/>
      <c r="G25" s="37"/>
      <c r="H25" s="37"/>
      <c r="I25" s="36" t="s">
        <v>1474</v>
      </c>
      <c r="J25" s="3"/>
      <c r="K25" s="16" t="s">
        <v>1269</v>
      </c>
      <c r="L25" s="37" t="str">
        <f>PROPER(units)</f>
        <v>Grams</v>
      </c>
      <c r="M25" s="36" t="s">
        <v>1474</v>
      </c>
      <c r="N25" s="3"/>
      <c r="O25" s="16" t="s">
        <v>1269</v>
      </c>
      <c r="P25" s="37" t="str">
        <f>PROPER(units)</f>
        <v>Grams</v>
      </c>
      <c r="Q25" s="36" t="s">
        <v>1474</v>
      </c>
      <c r="R25" s="3"/>
      <c r="S25" s="16" t="s">
        <v>1269</v>
      </c>
      <c r="T25" s="37" t="str">
        <f>PROPER(units)</f>
        <v>Grams</v>
      </c>
      <c r="U25" s="36" t="s">
        <v>1474</v>
      </c>
      <c r="V25" s="3"/>
      <c r="W25" s="16" t="s">
        <v>1269</v>
      </c>
      <c r="X25" s="37" t="str">
        <f>PROPER(units)</f>
        <v>Grams</v>
      </c>
      <c r="Y25" s="36" t="s">
        <v>1474</v>
      </c>
      <c r="Z25" s="3"/>
      <c r="AA25" s="16" t="s">
        <v>1269</v>
      </c>
      <c r="AB25" s="37" t="str">
        <f>PROPER(units)</f>
        <v>Grams</v>
      </c>
      <c r="AC25" s="36" t="s">
        <v>1474</v>
      </c>
      <c r="AD25" s="3"/>
    </row>
    <row r="26" spans="1:30">
      <c r="A26" s="117">
        <v>23</v>
      </c>
      <c r="B26" s="45" t="str">
        <f t="shared" ref="B26:B32" ca="1" si="26">INDEX(INDIRECT(Body.db),A26,1)</f>
        <v>* PASTA, WHOLE WHEAT</v>
      </c>
      <c r="C26" s="104">
        <f t="shared" ref="C26:C32" ca="1" si="27">IF(B26&gt;0,IF(G26-E26&gt;E26-H26,H26,G26),)</f>
        <v>54</v>
      </c>
      <c r="D26" s="48">
        <f t="shared" ref="D26:D32" ca="1" si="28">INDEX(INDIRECT(VLOOKUP(Body.type,Body_type,5,FALSE)),A26,2)</f>
        <v>50</v>
      </c>
      <c r="E26" s="104">
        <f t="shared" ref="E26:E32" ca="1" si="29">IF(B26&gt;0,D26*$J$4,)</f>
        <v>56.064279534109829</v>
      </c>
      <c r="F26" s="104">
        <f t="shared" ref="F26:F32" ca="1" si="30">IF(B26&gt;0,VLOOKUP(B26,Food_Database,9,FALSE),)</f>
        <v>9</v>
      </c>
      <c r="G26" s="104">
        <f t="shared" ref="G26:G32" ca="1" si="31">IF(B26&gt;0,CEILING(E26,F26),)</f>
        <v>63</v>
      </c>
      <c r="H26" s="104">
        <f t="shared" ref="H26:H32" ca="1" si="32">IF(B26&gt;0,FLOOR(E26,F26),)</f>
        <v>54</v>
      </c>
      <c r="I26" s="41">
        <f t="shared" ref="I26:I32" ca="1" si="33">IF(B26&gt;0,VLOOKUP(B26,Food_Database,2,FALSE)*C26/convert,)</f>
        <v>196.56</v>
      </c>
      <c r="J26" s="3"/>
      <c r="K26" s="45" t="s">
        <v>915</v>
      </c>
      <c r="L26" s="51">
        <v>50</v>
      </c>
      <c r="M26" s="41">
        <f t="shared" ref="M26:M32" si="34">IF(K26&gt;0,VLOOKUP(K26,Food_Database,2,FALSE)*L26/convert,)</f>
        <v>182</v>
      </c>
      <c r="N26" s="3"/>
      <c r="O26" s="45" t="s">
        <v>915</v>
      </c>
      <c r="P26" s="51">
        <v>50</v>
      </c>
      <c r="Q26" s="41">
        <f t="shared" ref="Q26:Q32" si="35">IF(O26&gt;0,VLOOKUP(O26,Food_Database,2,FALSE)*P26/convert,)</f>
        <v>182</v>
      </c>
      <c r="R26" s="3"/>
      <c r="S26" s="45" t="s">
        <v>915</v>
      </c>
      <c r="T26" s="194">
        <v>60</v>
      </c>
      <c r="U26" s="41">
        <f t="shared" ref="U26:U32" si="36">IF(S26&gt;0,VLOOKUP(S26,Food_Database,2,FALSE)*T26/convert,)</f>
        <v>218.4</v>
      </c>
      <c r="V26" s="3"/>
      <c r="W26" s="45" t="s">
        <v>915</v>
      </c>
      <c r="X26" s="194">
        <v>75</v>
      </c>
      <c r="Y26" s="41">
        <f t="shared" ref="Y26:Y32" si="37">IF(W26&gt;0,VLOOKUP(W26,Food_Database,2,FALSE)*X26/convert,)</f>
        <v>273</v>
      </c>
      <c r="Z26" s="3"/>
      <c r="AA26" s="45" t="s">
        <v>915</v>
      </c>
      <c r="AB26" s="194">
        <v>75</v>
      </c>
      <c r="AC26" s="41">
        <f t="shared" ref="AC26:AC32" si="38">IF(AA26&gt;0,VLOOKUP(AA26,Food_Database,2,FALSE)*AB26/convert,)</f>
        <v>273</v>
      </c>
      <c r="AD26" s="3"/>
    </row>
    <row r="27" spans="1:30">
      <c r="A27" s="117">
        <v>24</v>
      </c>
      <c r="B27" s="46" t="str">
        <f t="shared" ca="1" si="26"/>
        <v>* CHICKEN,GROUND,RAW</v>
      </c>
      <c r="C27" s="105">
        <f t="shared" ca="1" si="27"/>
        <v>114</v>
      </c>
      <c r="D27" s="49">
        <f t="shared" ca="1" si="28"/>
        <v>114</v>
      </c>
      <c r="E27" s="105">
        <f t="shared" ca="1" si="29"/>
        <v>127.82655733777041</v>
      </c>
      <c r="F27" s="105">
        <f t="shared" ca="1" si="30"/>
        <v>57</v>
      </c>
      <c r="G27" s="105">
        <f t="shared" ca="1" si="31"/>
        <v>171</v>
      </c>
      <c r="H27" s="105">
        <f t="shared" ca="1" si="32"/>
        <v>114</v>
      </c>
      <c r="I27" s="41">
        <f t="shared" ca="1" si="33"/>
        <v>163.02000000000001</v>
      </c>
      <c r="J27" s="3"/>
      <c r="K27" s="46" t="s">
        <v>186</v>
      </c>
      <c r="L27" s="52">
        <v>114</v>
      </c>
      <c r="M27" s="41">
        <f t="shared" si="34"/>
        <v>163.02000000000001</v>
      </c>
      <c r="N27" s="3"/>
      <c r="O27" s="46" t="s">
        <v>186</v>
      </c>
      <c r="P27" s="52">
        <v>114</v>
      </c>
      <c r="Q27" s="41">
        <f t="shared" si="35"/>
        <v>163.02000000000001</v>
      </c>
      <c r="R27" s="3"/>
      <c r="S27" s="46" t="s">
        <v>186</v>
      </c>
      <c r="T27" s="195">
        <v>220</v>
      </c>
      <c r="U27" s="41">
        <f t="shared" si="36"/>
        <v>314.60000000000002</v>
      </c>
      <c r="V27" s="3"/>
      <c r="W27" s="46" t="s">
        <v>186</v>
      </c>
      <c r="X27" s="195">
        <v>114</v>
      </c>
      <c r="Y27" s="41">
        <f t="shared" si="37"/>
        <v>163.02000000000001</v>
      </c>
      <c r="Z27" s="3"/>
      <c r="AA27" s="46" t="s">
        <v>186</v>
      </c>
      <c r="AB27" s="195">
        <v>114</v>
      </c>
      <c r="AC27" s="41">
        <f t="shared" si="38"/>
        <v>163.02000000000001</v>
      </c>
      <c r="AD27" s="3"/>
    </row>
    <row r="28" spans="1:30">
      <c r="A28" s="117">
        <v>25</v>
      </c>
      <c r="B28" s="46" t="str">
        <f t="shared" ca="1" si="26"/>
        <v>SAUCE,PASTA,SPAGHETTI</v>
      </c>
      <c r="C28" s="105">
        <f t="shared" ca="1" si="27"/>
        <v>64.5</v>
      </c>
      <c r="D28" s="49">
        <f t="shared" ca="1" si="28"/>
        <v>65</v>
      </c>
      <c r="E28" s="105">
        <f t="shared" ca="1" si="29"/>
        <v>72.883563394342772</v>
      </c>
      <c r="F28" s="105">
        <f t="shared" ca="1" si="30"/>
        <v>32.25</v>
      </c>
      <c r="G28" s="105">
        <f t="shared" ca="1" si="31"/>
        <v>96.75</v>
      </c>
      <c r="H28" s="105">
        <f t="shared" ca="1" si="32"/>
        <v>64.5</v>
      </c>
      <c r="I28" s="41">
        <f t="shared" ca="1" si="33"/>
        <v>56.115000000000002</v>
      </c>
      <c r="J28" s="3"/>
      <c r="K28" s="46" t="s">
        <v>422</v>
      </c>
      <c r="L28" s="52">
        <v>65</v>
      </c>
      <c r="M28" s="41">
        <f t="shared" si="34"/>
        <v>56.55</v>
      </c>
      <c r="N28" s="3"/>
      <c r="O28" s="46" t="s">
        <v>422</v>
      </c>
      <c r="P28" s="52">
        <v>65</v>
      </c>
      <c r="Q28" s="41">
        <f t="shared" si="35"/>
        <v>56.55</v>
      </c>
      <c r="R28" s="3"/>
      <c r="S28" s="46" t="s">
        <v>189</v>
      </c>
      <c r="T28" s="195">
        <v>152</v>
      </c>
      <c r="U28" s="41">
        <f t="shared" si="36"/>
        <v>41.04</v>
      </c>
      <c r="V28" s="3"/>
      <c r="W28" s="46" t="s">
        <v>189</v>
      </c>
      <c r="X28" s="195">
        <v>152</v>
      </c>
      <c r="Y28" s="41">
        <f t="shared" si="37"/>
        <v>41.04</v>
      </c>
      <c r="Z28" s="3"/>
      <c r="AA28" s="46" t="s">
        <v>189</v>
      </c>
      <c r="AB28" s="195">
        <v>152</v>
      </c>
      <c r="AC28" s="41">
        <f t="shared" si="38"/>
        <v>41.04</v>
      </c>
      <c r="AD28" s="3"/>
    </row>
    <row r="29" spans="1:30">
      <c r="A29" s="117">
        <v>26</v>
      </c>
      <c r="B29" s="46" t="str">
        <f t="shared" ca="1" si="26"/>
        <v>* MILK, SKIM</v>
      </c>
      <c r="C29" s="105">
        <f t="shared" ca="1" si="27"/>
        <v>122.5</v>
      </c>
      <c r="D29" s="49">
        <f t="shared" ca="1" si="28"/>
        <v>122</v>
      </c>
      <c r="E29" s="105">
        <f t="shared" ca="1" si="29"/>
        <v>136.79684206322798</v>
      </c>
      <c r="F29" s="105">
        <f t="shared" ca="1" si="30"/>
        <v>30.625</v>
      </c>
      <c r="G29" s="105">
        <f t="shared" ca="1" si="31"/>
        <v>153.125</v>
      </c>
      <c r="H29" s="105">
        <f t="shared" ca="1" si="32"/>
        <v>122.5</v>
      </c>
      <c r="I29" s="41">
        <f t="shared" ca="1" si="33"/>
        <v>41.65</v>
      </c>
      <c r="J29" s="3"/>
      <c r="K29" s="46" t="s">
        <v>179</v>
      </c>
      <c r="L29" s="52">
        <v>122</v>
      </c>
      <c r="M29" s="41">
        <f t="shared" si="34"/>
        <v>41.48</v>
      </c>
      <c r="N29" s="3"/>
      <c r="O29" s="46" t="s">
        <v>179</v>
      </c>
      <c r="P29" s="52">
        <v>122</v>
      </c>
      <c r="Q29" s="41">
        <f t="shared" si="35"/>
        <v>41.48</v>
      </c>
      <c r="R29" s="3"/>
      <c r="S29" s="46" t="s">
        <v>240</v>
      </c>
      <c r="T29" s="195">
        <v>91</v>
      </c>
      <c r="U29" s="41">
        <f t="shared" si="36"/>
        <v>30.94</v>
      </c>
      <c r="V29" s="3"/>
      <c r="W29" s="46" t="s">
        <v>240</v>
      </c>
      <c r="X29" s="195">
        <v>79.625</v>
      </c>
      <c r="Y29" s="41">
        <f t="shared" si="37"/>
        <v>27.072500000000002</v>
      </c>
      <c r="Z29" s="3"/>
      <c r="AA29" s="46" t="s">
        <v>240</v>
      </c>
      <c r="AB29" s="195">
        <v>91</v>
      </c>
      <c r="AC29" s="41">
        <f t="shared" si="38"/>
        <v>30.94</v>
      </c>
      <c r="AD29" s="3"/>
    </row>
    <row r="30" spans="1:30">
      <c r="A30" s="117">
        <v>27</v>
      </c>
      <c r="B30" s="46">
        <f t="shared" ca="1" si="26"/>
        <v>0</v>
      </c>
      <c r="C30" s="105">
        <f t="shared" ca="1" si="27"/>
        <v>0</v>
      </c>
      <c r="D30" s="49">
        <f t="shared" ca="1" si="28"/>
        <v>0</v>
      </c>
      <c r="E30" s="105">
        <f t="shared" ca="1" si="29"/>
        <v>0</v>
      </c>
      <c r="F30" s="105">
        <f t="shared" ca="1" si="30"/>
        <v>0</v>
      </c>
      <c r="G30" s="105">
        <f t="shared" ca="1" si="31"/>
        <v>0</v>
      </c>
      <c r="H30" s="105">
        <f t="shared" ca="1" si="32"/>
        <v>0</v>
      </c>
      <c r="I30" s="41">
        <f t="shared" ca="1" si="33"/>
        <v>0</v>
      </c>
      <c r="J30" s="3"/>
      <c r="K30" s="46"/>
      <c r="L30" s="52"/>
      <c r="M30" s="41">
        <f t="shared" si="34"/>
        <v>0</v>
      </c>
      <c r="N30" s="3"/>
      <c r="O30" s="46"/>
      <c r="P30" s="52"/>
      <c r="Q30" s="41">
        <f t="shared" si="35"/>
        <v>0</v>
      </c>
      <c r="R30" s="3"/>
      <c r="S30" s="46" t="s">
        <v>236</v>
      </c>
      <c r="T30" s="195">
        <v>250</v>
      </c>
      <c r="U30" s="41">
        <f t="shared" si="36"/>
        <v>0</v>
      </c>
      <c r="V30" s="3"/>
      <c r="W30" s="46" t="s">
        <v>236</v>
      </c>
      <c r="X30" s="195">
        <v>218.75</v>
      </c>
      <c r="Y30" s="41">
        <f t="shared" si="37"/>
        <v>0</v>
      </c>
      <c r="Z30" s="3"/>
      <c r="AA30" s="46" t="s">
        <v>236</v>
      </c>
      <c r="AB30" s="195">
        <v>250</v>
      </c>
      <c r="AC30" s="41">
        <f t="shared" si="38"/>
        <v>0</v>
      </c>
      <c r="AD30" s="3"/>
    </row>
    <row r="31" spans="1:30">
      <c r="A31" s="117">
        <v>28</v>
      </c>
      <c r="B31" s="46">
        <f t="shared" ca="1" si="26"/>
        <v>0</v>
      </c>
      <c r="C31" s="105">
        <f t="shared" ca="1" si="27"/>
        <v>0</v>
      </c>
      <c r="D31" s="49">
        <f t="shared" ca="1" si="28"/>
        <v>0</v>
      </c>
      <c r="E31" s="105">
        <f t="shared" ca="1" si="29"/>
        <v>0</v>
      </c>
      <c r="F31" s="105">
        <f t="shared" ca="1" si="30"/>
        <v>0</v>
      </c>
      <c r="G31" s="105">
        <f t="shared" ca="1" si="31"/>
        <v>0</v>
      </c>
      <c r="H31" s="105">
        <f t="shared" ca="1" si="32"/>
        <v>0</v>
      </c>
      <c r="I31" s="41">
        <f t="shared" ca="1" si="33"/>
        <v>0</v>
      </c>
      <c r="J31" s="3"/>
      <c r="K31" s="46"/>
      <c r="L31" s="52"/>
      <c r="M31" s="41">
        <f t="shared" si="34"/>
        <v>0</v>
      </c>
      <c r="N31" s="3"/>
      <c r="O31" s="46"/>
      <c r="P31" s="52"/>
      <c r="Q31" s="41">
        <f t="shared" si="35"/>
        <v>0</v>
      </c>
      <c r="R31" s="3"/>
      <c r="S31" s="46"/>
      <c r="T31" s="52"/>
      <c r="U31" s="41">
        <f t="shared" si="36"/>
        <v>0</v>
      </c>
      <c r="V31" s="3"/>
      <c r="W31" s="46"/>
      <c r="X31" s="52"/>
      <c r="Y31" s="41">
        <f t="shared" si="37"/>
        <v>0</v>
      </c>
      <c r="Z31" s="3"/>
      <c r="AA31" s="46"/>
      <c r="AB31" s="52"/>
      <c r="AC31" s="41">
        <f t="shared" si="38"/>
        <v>0</v>
      </c>
      <c r="AD31" s="3"/>
    </row>
    <row r="32" spans="1:30" ht="13.5" thickBot="1">
      <c r="A32" s="117">
        <v>29</v>
      </c>
      <c r="B32" s="47">
        <f t="shared" ca="1" si="26"/>
        <v>0</v>
      </c>
      <c r="C32" s="106">
        <f t="shared" ca="1" si="27"/>
        <v>0</v>
      </c>
      <c r="D32" s="50">
        <f t="shared" ca="1" si="28"/>
        <v>0</v>
      </c>
      <c r="E32" s="106">
        <f t="shared" ca="1" si="29"/>
        <v>0</v>
      </c>
      <c r="F32" s="106">
        <f t="shared" ca="1" si="30"/>
        <v>0</v>
      </c>
      <c r="G32" s="106">
        <f t="shared" ca="1" si="31"/>
        <v>0</v>
      </c>
      <c r="H32" s="106">
        <f t="shared" ca="1" si="32"/>
        <v>0</v>
      </c>
      <c r="I32" s="44">
        <f t="shared" ca="1" si="33"/>
        <v>0</v>
      </c>
      <c r="J32" s="3"/>
      <c r="K32" s="47"/>
      <c r="L32" s="53"/>
      <c r="M32" s="44">
        <f t="shared" si="34"/>
        <v>0</v>
      </c>
      <c r="N32" s="3"/>
      <c r="O32" s="47"/>
      <c r="P32" s="53"/>
      <c r="Q32" s="44">
        <f t="shared" si="35"/>
        <v>0</v>
      </c>
      <c r="R32" s="3"/>
      <c r="S32" s="47"/>
      <c r="T32" s="53"/>
      <c r="U32" s="44">
        <f t="shared" si="36"/>
        <v>0</v>
      </c>
      <c r="V32" s="3"/>
      <c r="W32" s="47"/>
      <c r="X32" s="53"/>
      <c r="Y32" s="44">
        <f t="shared" si="37"/>
        <v>0</v>
      </c>
      <c r="Z32" s="3"/>
      <c r="AA32" s="47"/>
      <c r="AB32" s="53"/>
      <c r="AC32" s="44">
        <f t="shared" si="38"/>
        <v>0</v>
      </c>
      <c r="AD32" s="3"/>
    </row>
    <row r="33" spans="1:30" ht="13.5" thickBot="1">
      <c r="A33" s="117">
        <v>30</v>
      </c>
      <c r="B33" s="77" t="s">
        <v>268</v>
      </c>
      <c r="C33" s="3"/>
      <c r="D33" s="3"/>
      <c r="E33" s="3"/>
      <c r="F33" s="3"/>
      <c r="G33" s="3"/>
      <c r="H33" s="3"/>
      <c r="I33" s="3"/>
      <c r="J33" s="3"/>
      <c r="K33" s="77" t="s">
        <v>268</v>
      </c>
      <c r="L33" s="3"/>
      <c r="M33" s="3"/>
      <c r="N33" s="3"/>
      <c r="O33" s="77" t="s">
        <v>268</v>
      </c>
      <c r="P33" s="3"/>
      <c r="Q33" s="3"/>
      <c r="R33" s="3"/>
      <c r="S33" s="77" t="s">
        <v>268</v>
      </c>
      <c r="T33" s="3"/>
      <c r="U33" s="3"/>
      <c r="V33" s="3"/>
      <c r="W33" s="77" t="s">
        <v>268</v>
      </c>
      <c r="X33" s="3"/>
      <c r="Y33" s="3"/>
      <c r="Z33" s="3"/>
      <c r="AA33" s="77" t="s">
        <v>268</v>
      </c>
      <c r="AB33" s="3"/>
      <c r="AC33" s="3"/>
      <c r="AD33" s="3"/>
    </row>
    <row r="34" spans="1:30" ht="14.25" thickTop="1" thickBot="1">
      <c r="A34" s="117">
        <v>31</v>
      </c>
      <c r="B34" s="78"/>
      <c r="C34" s="79"/>
      <c r="D34" s="79" t="s">
        <v>1271</v>
      </c>
      <c r="E34" s="79"/>
      <c r="F34" s="79"/>
      <c r="G34" s="79"/>
      <c r="H34" s="79"/>
      <c r="I34" s="81">
        <f ca="1">SUM(I37:I43)</f>
        <v>455.84749999999997</v>
      </c>
      <c r="J34" s="3"/>
      <c r="K34" s="78"/>
      <c r="L34" s="79" t="s">
        <v>1271</v>
      </c>
      <c r="M34" s="81">
        <f>SUM(M37:M43)</f>
        <v>418.24</v>
      </c>
      <c r="N34" s="3"/>
      <c r="O34" s="78"/>
      <c r="P34" s="79" t="s">
        <v>1271</v>
      </c>
      <c r="Q34" s="81">
        <f>SUM(Q37:Q43)</f>
        <v>482.05</v>
      </c>
      <c r="R34" s="3"/>
      <c r="S34" s="78"/>
      <c r="T34" s="79" t="s">
        <v>1271</v>
      </c>
      <c r="U34" s="81">
        <f>SUM(U37:U43)</f>
        <v>475.37625000000003</v>
      </c>
      <c r="V34" s="3"/>
      <c r="W34" s="78"/>
      <c r="X34" s="79" t="s">
        <v>1271</v>
      </c>
      <c r="Y34" s="81">
        <f>SUM(Y37:Y43)</f>
        <v>527.90875000000005</v>
      </c>
      <c r="Z34" s="3"/>
      <c r="AA34" s="78"/>
      <c r="AB34" s="79" t="s">
        <v>1271</v>
      </c>
      <c r="AC34" s="81">
        <f>SUM(AC37:AC43)</f>
        <v>498.59249999999997</v>
      </c>
      <c r="AD34" s="3"/>
    </row>
    <row r="35" spans="1:30" ht="13.5" thickBot="1">
      <c r="A35" s="117">
        <v>32</v>
      </c>
      <c r="B35" s="82" t="s">
        <v>201</v>
      </c>
      <c r="C35" s="83"/>
      <c r="D35" s="83" t="s">
        <v>1270</v>
      </c>
      <c r="E35" s="83"/>
      <c r="F35" s="83"/>
      <c r="G35" s="83"/>
      <c r="H35" s="83"/>
      <c r="I35" s="83"/>
      <c r="J35" s="3"/>
      <c r="K35" s="82" t="s">
        <v>1480</v>
      </c>
      <c r="L35" s="83" t="s">
        <v>1270</v>
      </c>
      <c r="M35" s="83"/>
      <c r="N35" s="3"/>
      <c r="O35" s="82" t="s">
        <v>1480</v>
      </c>
      <c r="P35" s="83" t="s">
        <v>1270</v>
      </c>
      <c r="Q35" s="83"/>
      <c r="R35" s="3"/>
      <c r="S35" s="82" t="s">
        <v>1480</v>
      </c>
      <c r="T35" s="83" t="s">
        <v>1270</v>
      </c>
      <c r="U35" s="83"/>
      <c r="V35" s="3"/>
      <c r="W35" s="82" t="s">
        <v>1480</v>
      </c>
      <c r="X35" s="83" t="s">
        <v>1270</v>
      </c>
      <c r="Y35" s="83"/>
      <c r="Z35" s="3"/>
      <c r="AA35" s="82" t="s">
        <v>1480</v>
      </c>
      <c r="AB35" s="83" t="s">
        <v>1270</v>
      </c>
      <c r="AC35" s="83"/>
      <c r="AD35" s="3"/>
    </row>
    <row r="36" spans="1:30" ht="13.5" thickBot="1">
      <c r="A36" s="117">
        <v>33</v>
      </c>
      <c r="B36" s="16" t="s">
        <v>1269</v>
      </c>
      <c r="C36" s="37"/>
      <c r="D36" s="37" t="str">
        <f>PROPER(units)</f>
        <v>Grams</v>
      </c>
      <c r="E36" s="37"/>
      <c r="F36" s="37"/>
      <c r="G36" s="37"/>
      <c r="H36" s="37"/>
      <c r="I36" s="36" t="s">
        <v>1474</v>
      </c>
      <c r="J36" s="3"/>
      <c r="K36" s="16" t="s">
        <v>1269</v>
      </c>
      <c r="L36" s="37" t="str">
        <f>PROPER(units)</f>
        <v>Grams</v>
      </c>
      <c r="M36" s="36" t="s">
        <v>1474</v>
      </c>
      <c r="N36" s="3"/>
      <c r="O36" s="16" t="s">
        <v>1269</v>
      </c>
      <c r="P36" s="37" t="str">
        <f>PROPER(units)</f>
        <v>Grams</v>
      </c>
      <c r="Q36" s="36" t="s">
        <v>1474</v>
      </c>
      <c r="R36" s="3"/>
      <c r="S36" s="16" t="s">
        <v>1269</v>
      </c>
      <c r="T36" s="37" t="str">
        <f>PROPER(units)</f>
        <v>Grams</v>
      </c>
      <c r="U36" s="36" t="s">
        <v>1474</v>
      </c>
      <c r="V36" s="3"/>
      <c r="W36" s="16" t="s">
        <v>1269</v>
      </c>
      <c r="X36" s="37" t="str">
        <f>PROPER(units)</f>
        <v>Grams</v>
      </c>
      <c r="Y36" s="36" t="s">
        <v>1474</v>
      </c>
      <c r="Z36" s="3"/>
      <c r="AA36" s="16" t="s">
        <v>1269</v>
      </c>
      <c r="AB36" s="37" t="str">
        <f>PROPER(units)</f>
        <v>Grams</v>
      </c>
      <c r="AC36" s="36" t="s">
        <v>1474</v>
      </c>
      <c r="AD36" s="3"/>
    </row>
    <row r="37" spans="1:30">
      <c r="A37" s="117">
        <v>34</v>
      </c>
      <c r="B37" s="45" t="str">
        <f t="shared" ref="B37:B43" ca="1" si="39">INDEX(INDIRECT(Body.db),A37,1)</f>
        <v>* BREAD,MULTI/WHL GRAIN</v>
      </c>
      <c r="C37" s="104">
        <f t="shared" ref="C37:C43" ca="1" si="40">IF(B37&gt;0,IF(G37-E37&gt;E37-H37,H37,G37),)</f>
        <v>52</v>
      </c>
      <c r="D37" s="48">
        <f t="shared" ref="D37:D43" ca="1" si="41">INDEX(INDIRECT(VLOOKUP(Body.type,Body_type,5,FALSE)),A37,2)</f>
        <v>52</v>
      </c>
      <c r="E37" s="104">
        <f t="shared" ref="E37:E43" ca="1" si="42">IF(B37&gt;0,D37*$J$4,)</f>
        <v>58.306850715474219</v>
      </c>
      <c r="F37" s="104">
        <f t="shared" ref="F37:F43" ca="1" si="43">IF(B37&gt;0,VLOOKUP(B37,Food_Database,9,FALSE),)</f>
        <v>13</v>
      </c>
      <c r="G37" s="104">
        <f t="shared" ref="G37:G43" ca="1" si="44">IF(B37&gt;0,CEILING(E37,F37),)</f>
        <v>65</v>
      </c>
      <c r="H37" s="104">
        <f t="shared" ref="H37:H43" ca="1" si="45">IF(B37&gt;0,FLOOR(E37,F37),)</f>
        <v>52</v>
      </c>
      <c r="I37" s="41">
        <f t="shared" ref="I37:I43" ca="1" si="46">IF(B37&gt;0,VLOOKUP(B37,Food_Database,2,FALSE)*C37/convert,)</f>
        <v>137.80000000000001</v>
      </c>
      <c r="J37" s="3"/>
      <c r="K37" s="45" t="s">
        <v>746</v>
      </c>
      <c r="L37" s="48">
        <v>52</v>
      </c>
      <c r="M37" s="41">
        <f t="shared" ref="M37:M43" si="47">IF(K37&gt;0,VLOOKUP(K37,Food_Database,2,FALSE)*L37/convert,)</f>
        <v>137.80000000000001</v>
      </c>
      <c r="N37" s="3"/>
      <c r="O37" s="45" t="s">
        <v>746</v>
      </c>
      <c r="P37" s="194">
        <v>45</v>
      </c>
      <c r="Q37" s="41">
        <f t="shared" ref="Q37:Q43" si="48">IF(O37&gt;0,VLOOKUP(O37,Food_Database,2,FALSE)*P37/convert,)</f>
        <v>119.25</v>
      </c>
      <c r="R37" s="3"/>
      <c r="S37" s="45" t="s">
        <v>746</v>
      </c>
      <c r="T37" s="194">
        <v>39</v>
      </c>
      <c r="U37" s="41">
        <f t="shared" ref="U37:U43" si="49">IF(S37&gt;0,VLOOKUP(S37,Food_Database,2,FALSE)*T37/convert,)</f>
        <v>103.35</v>
      </c>
      <c r="V37" s="3"/>
      <c r="W37" s="45" t="s">
        <v>746</v>
      </c>
      <c r="X37" s="194">
        <v>65</v>
      </c>
      <c r="Y37" s="41">
        <f t="shared" ref="Y37:Y43" si="50">IF(W37&gt;0,VLOOKUP(W37,Food_Database,2,FALSE)*X37/convert,)</f>
        <v>172.25</v>
      </c>
      <c r="Z37" s="3"/>
      <c r="AA37" s="45" t="s">
        <v>746</v>
      </c>
      <c r="AB37" s="194">
        <v>65</v>
      </c>
      <c r="AC37" s="41">
        <f t="shared" ref="AC37:AC43" si="51">IF(AA37&gt;0,VLOOKUP(AA37,Food_Database,2,FALSE)*AB37/convert,)</f>
        <v>172.25</v>
      </c>
      <c r="AD37" s="3"/>
    </row>
    <row r="38" spans="1:30">
      <c r="A38" s="117">
        <v>35</v>
      </c>
      <c r="B38" s="46" t="str">
        <f t="shared" ca="1" si="39"/>
        <v>* CHICKEN BREAST  OVEN-ROAST</v>
      </c>
      <c r="C38" s="105">
        <f t="shared" ca="1" si="40"/>
        <v>136.5</v>
      </c>
      <c r="D38" s="49">
        <f t="shared" ca="1" si="41"/>
        <v>126</v>
      </c>
      <c r="E38" s="105">
        <f t="shared" ca="1" si="42"/>
        <v>141.28198442595678</v>
      </c>
      <c r="F38" s="105">
        <f t="shared" ca="1" si="43"/>
        <v>10.5</v>
      </c>
      <c r="G38" s="105">
        <f t="shared" ca="1" si="44"/>
        <v>147</v>
      </c>
      <c r="H38" s="105">
        <f t="shared" ca="1" si="45"/>
        <v>136.5</v>
      </c>
      <c r="I38" s="41">
        <f t="shared" ca="1" si="46"/>
        <v>107.83499999999999</v>
      </c>
      <c r="J38" s="3"/>
      <c r="K38" s="46" t="s">
        <v>431</v>
      </c>
      <c r="L38" s="49">
        <v>126</v>
      </c>
      <c r="M38" s="41">
        <f t="shared" si="47"/>
        <v>99.54</v>
      </c>
      <c r="N38" s="3"/>
      <c r="O38" s="46" t="s">
        <v>431</v>
      </c>
      <c r="P38" s="195">
        <v>120</v>
      </c>
      <c r="Q38" s="41">
        <f t="shared" si="48"/>
        <v>94.8</v>
      </c>
      <c r="R38" s="3"/>
      <c r="S38" s="46" t="s">
        <v>431</v>
      </c>
      <c r="T38" s="195">
        <v>125</v>
      </c>
      <c r="U38" s="41">
        <f t="shared" si="49"/>
        <v>98.75</v>
      </c>
      <c r="V38" s="3"/>
      <c r="W38" s="46" t="s">
        <v>431</v>
      </c>
      <c r="X38" s="195">
        <v>157.5</v>
      </c>
      <c r="Y38" s="41">
        <f t="shared" si="50"/>
        <v>124.425</v>
      </c>
      <c r="Z38" s="3"/>
      <c r="AA38" s="46" t="s">
        <v>431</v>
      </c>
      <c r="AB38" s="195">
        <v>147</v>
      </c>
      <c r="AC38" s="41">
        <f t="shared" si="51"/>
        <v>116.13</v>
      </c>
      <c r="AD38" s="3"/>
    </row>
    <row r="39" spans="1:30">
      <c r="A39" s="117">
        <v>36</v>
      </c>
      <c r="B39" s="46" t="str">
        <f t="shared" ca="1" si="39"/>
        <v>* SOUP,BEEF NOODLE</v>
      </c>
      <c r="C39" s="105">
        <f t="shared" ca="1" si="40"/>
        <v>313.75</v>
      </c>
      <c r="D39" s="49">
        <f t="shared" ca="1" si="41"/>
        <v>270</v>
      </c>
      <c r="E39" s="105">
        <f t="shared" ca="1" si="42"/>
        <v>302.74710948419306</v>
      </c>
      <c r="F39" s="105">
        <f t="shared" ca="1" si="43"/>
        <v>31.375</v>
      </c>
      <c r="G39" s="105">
        <f t="shared" ca="1" si="44"/>
        <v>313.75</v>
      </c>
      <c r="H39" s="105">
        <f t="shared" ca="1" si="45"/>
        <v>282.375</v>
      </c>
      <c r="I39" s="41">
        <f t="shared" ca="1" si="46"/>
        <v>210.21250000000001</v>
      </c>
      <c r="J39" s="3"/>
      <c r="K39" s="46" t="s">
        <v>190</v>
      </c>
      <c r="L39" s="49">
        <v>270</v>
      </c>
      <c r="M39" s="41">
        <f t="shared" si="47"/>
        <v>180.9</v>
      </c>
      <c r="N39" s="3"/>
      <c r="O39" s="46" t="s">
        <v>190</v>
      </c>
      <c r="P39" s="195">
        <v>400</v>
      </c>
      <c r="Q39" s="41">
        <f t="shared" si="48"/>
        <v>268</v>
      </c>
      <c r="R39" s="3"/>
      <c r="S39" s="46" t="s">
        <v>190</v>
      </c>
      <c r="T39" s="195">
        <v>407.875</v>
      </c>
      <c r="U39" s="41">
        <f t="shared" si="49"/>
        <v>273.27625</v>
      </c>
      <c r="V39" s="3"/>
      <c r="W39" s="46" t="s">
        <v>190</v>
      </c>
      <c r="X39" s="195">
        <v>345.125</v>
      </c>
      <c r="Y39" s="41">
        <f t="shared" si="50"/>
        <v>231.23374999999999</v>
      </c>
      <c r="Z39" s="3"/>
      <c r="AA39" s="46" t="s">
        <v>190</v>
      </c>
      <c r="AB39" s="195">
        <v>313.75</v>
      </c>
      <c r="AC39" s="41">
        <f t="shared" si="51"/>
        <v>210.21250000000001</v>
      </c>
      <c r="AD39" s="3"/>
    </row>
    <row r="40" spans="1:30">
      <c r="A40" s="117">
        <v>37</v>
      </c>
      <c r="B40" s="46">
        <f t="shared" ca="1" si="39"/>
        <v>0</v>
      </c>
      <c r="C40" s="105">
        <f t="shared" ca="1" si="40"/>
        <v>0</v>
      </c>
      <c r="D40" s="49">
        <f t="shared" ca="1" si="41"/>
        <v>0</v>
      </c>
      <c r="E40" s="105">
        <f t="shared" ca="1" si="42"/>
        <v>0</v>
      </c>
      <c r="F40" s="105">
        <f t="shared" ca="1" si="43"/>
        <v>0</v>
      </c>
      <c r="G40" s="105">
        <f t="shared" ca="1" si="44"/>
        <v>0</v>
      </c>
      <c r="H40" s="105">
        <f t="shared" ca="1" si="45"/>
        <v>0</v>
      </c>
      <c r="I40" s="41">
        <f t="shared" ca="1" si="46"/>
        <v>0</v>
      </c>
      <c r="J40" s="3"/>
      <c r="K40" s="46"/>
      <c r="L40" s="52"/>
      <c r="M40" s="41">
        <f t="shared" si="47"/>
        <v>0</v>
      </c>
      <c r="N40" s="3"/>
      <c r="O40" s="46"/>
      <c r="P40" s="195"/>
      <c r="Q40" s="41">
        <f t="shared" si="48"/>
        <v>0</v>
      </c>
      <c r="R40" s="3"/>
      <c r="S40" s="46"/>
      <c r="T40" s="52"/>
      <c r="U40" s="41">
        <f t="shared" si="49"/>
        <v>0</v>
      </c>
      <c r="V40" s="3"/>
      <c r="W40" s="46"/>
      <c r="X40" s="52"/>
      <c r="Y40" s="41">
        <f t="shared" si="50"/>
        <v>0</v>
      </c>
      <c r="Z40" s="3"/>
      <c r="AA40" s="46"/>
      <c r="AB40" s="52"/>
      <c r="AC40" s="41">
        <f t="shared" si="51"/>
        <v>0</v>
      </c>
      <c r="AD40" s="3"/>
    </row>
    <row r="41" spans="1:30">
      <c r="A41" s="117">
        <v>38</v>
      </c>
      <c r="B41" s="46">
        <f t="shared" ca="1" si="39"/>
        <v>0</v>
      </c>
      <c r="C41" s="105">
        <f t="shared" ca="1" si="40"/>
        <v>0</v>
      </c>
      <c r="D41" s="49">
        <f t="shared" ca="1" si="41"/>
        <v>0</v>
      </c>
      <c r="E41" s="105">
        <f t="shared" ca="1" si="42"/>
        <v>0</v>
      </c>
      <c r="F41" s="105">
        <f t="shared" ca="1" si="43"/>
        <v>0</v>
      </c>
      <c r="G41" s="105">
        <f t="shared" ca="1" si="44"/>
        <v>0</v>
      </c>
      <c r="H41" s="105">
        <f t="shared" ca="1" si="45"/>
        <v>0</v>
      </c>
      <c r="I41" s="41">
        <f t="shared" ca="1" si="46"/>
        <v>0</v>
      </c>
      <c r="J41" s="3"/>
      <c r="K41" s="46"/>
      <c r="L41" s="52"/>
      <c r="M41" s="41">
        <f t="shared" si="47"/>
        <v>0</v>
      </c>
      <c r="N41" s="3"/>
      <c r="O41" s="46"/>
      <c r="P41" s="52"/>
      <c r="Q41" s="41">
        <f t="shared" si="48"/>
        <v>0</v>
      </c>
      <c r="R41" s="3"/>
      <c r="S41" s="46"/>
      <c r="T41" s="52"/>
      <c r="U41" s="41">
        <f t="shared" si="49"/>
        <v>0</v>
      </c>
      <c r="V41" s="3"/>
      <c r="W41" s="46"/>
      <c r="X41" s="52"/>
      <c r="Y41" s="41">
        <f t="shared" si="50"/>
        <v>0</v>
      </c>
      <c r="Z41" s="3"/>
      <c r="AA41" s="46"/>
      <c r="AB41" s="52"/>
      <c r="AC41" s="41">
        <f t="shared" si="51"/>
        <v>0</v>
      </c>
      <c r="AD41" s="3"/>
    </row>
    <row r="42" spans="1:30">
      <c r="A42" s="117">
        <v>39</v>
      </c>
      <c r="B42" s="46">
        <f t="shared" ca="1" si="39"/>
        <v>0</v>
      </c>
      <c r="C42" s="105">
        <f t="shared" ca="1" si="40"/>
        <v>0</v>
      </c>
      <c r="D42" s="49">
        <f t="shared" ca="1" si="41"/>
        <v>0</v>
      </c>
      <c r="E42" s="105">
        <f t="shared" ca="1" si="42"/>
        <v>0</v>
      </c>
      <c r="F42" s="105">
        <f t="shared" ca="1" si="43"/>
        <v>0</v>
      </c>
      <c r="G42" s="105">
        <f t="shared" ca="1" si="44"/>
        <v>0</v>
      </c>
      <c r="H42" s="105">
        <f t="shared" ca="1" si="45"/>
        <v>0</v>
      </c>
      <c r="I42" s="41">
        <f t="shared" ca="1" si="46"/>
        <v>0</v>
      </c>
      <c r="J42" s="3"/>
      <c r="K42" s="46"/>
      <c r="L42" s="52"/>
      <c r="M42" s="41">
        <f t="shared" si="47"/>
        <v>0</v>
      </c>
      <c r="N42" s="3"/>
      <c r="O42" s="46"/>
      <c r="P42" s="52"/>
      <c r="Q42" s="41">
        <f t="shared" si="48"/>
        <v>0</v>
      </c>
      <c r="R42" s="3"/>
      <c r="S42" s="46"/>
      <c r="T42" s="52"/>
      <c r="U42" s="41">
        <f t="shared" si="49"/>
        <v>0</v>
      </c>
      <c r="V42" s="3"/>
      <c r="W42" s="46"/>
      <c r="X42" s="52"/>
      <c r="Y42" s="41">
        <f t="shared" si="50"/>
        <v>0</v>
      </c>
      <c r="Z42" s="3"/>
      <c r="AA42" s="46"/>
      <c r="AB42" s="52"/>
      <c r="AC42" s="41">
        <f t="shared" si="51"/>
        <v>0</v>
      </c>
      <c r="AD42" s="3"/>
    </row>
    <row r="43" spans="1:30" ht="13.5" thickBot="1">
      <c r="A43" s="117">
        <v>40</v>
      </c>
      <c r="B43" s="47">
        <f t="shared" ca="1" si="39"/>
        <v>0</v>
      </c>
      <c r="C43" s="106">
        <f t="shared" ca="1" si="40"/>
        <v>0</v>
      </c>
      <c r="D43" s="50">
        <f t="shared" ca="1" si="41"/>
        <v>0</v>
      </c>
      <c r="E43" s="106">
        <f t="shared" ca="1" si="42"/>
        <v>0</v>
      </c>
      <c r="F43" s="106">
        <f t="shared" ca="1" si="43"/>
        <v>0</v>
      </c>
      <c r="G43" s="106">
        <f t="shared" ca="1" si="44"/>
        <v>0</v>
      </c>
      <c r="H43" s="106">
        <f t="shared" ca="1" si="45"/>
        <v>0</v>
      </c>
      <c r="I43" s="44">
        <f t="shared" ca="1" si="46"/>
        <v>0</v>
      </c>
      <c r="J43" s="3"/>
      <c r="K43" s="47"/>
      <c r="L43" s="53"/>
      <c r="M43" s="44">
        <f t="shared" si="47"/>
        <v>0</v>
      </c>
      <c r="N43" s="3"/>
      <c r="O43" s="47"/>
      <c r="P43" s="53"/>
      <c r="Q43" s="44">
        <f t="shared" si="48"/>
        <v>0</v>
      </c>
      <c r="R43" s="3"/>
      <c r="S43" s="47"/>
      <c r="T43" s="53"/>
      <c r="U43" s="44">
        <f t="shared" si="49"/>
        <v>0</v>
      </c>
      <c r="V43" s="3"/>
      <c r="W43" s="47"/>
      <c r="X43" s="53"/>
      <c r="Y43" s="44">
        <f t="shared" si="50"/>
        <v>0</v>
      </c>
      <c r="Z43" s="3"/>
      <c r="AA43" s="47"/>
      <c r="AB43" s="53"/>
      <c r="AC43" s="44">
        <f t="shared" si="51"/>
        <v>0</v>
      </c>
      <c r="AD43" s="3"/>
    </row>
    <row r="44" spans="1:30" ht="13.5" thickBot="1">
      <c r="A44" s="117">
        <v>41</v>
      </c>
      <c r="B44" s="77" t="s">
        <v>268</v>
      </c>
      <c r="C44" s="3"/>
      <c r="D44" s="3"/>
      <c r="E44" s="3"/>
      <c r="F44" s="3"/>
      <c r="G44" s="3"/>
      <c r="H44" s="3"/>
      <c r="I44" s="3"/>
      <c r="J44" s="3"/>
      <c r="K44" s="77" t="s">
        <v>268</v>
      </c>
      <c r="L44" s="3"/>
      <c r="M44" s="3"/>
      <c r="N44" s="3"/>
      <c r="O44" s="77" t="s">
        <v>268</v>
      </c>
      <c r="P44" s="3"/>
      <c r="Q44" s="3"/>
      <c r="R44" s="3"/>
      <c r="S44" s="77" t="s">
        <v>268</v>
      </c>
      <c r="T44" s="3"/>
      <c r="U44" s="3"/>
      <c r="V44" s="3"/>
      <c r="W44" s="77" t="s">
        <v>268</v>
      </c>
      <c r="X44" s="3"/>
      <c r="Y44" s="3"/>
      <c r="Z44" s="3"/>
      <c r="AA44" s="77" t="s">
        <v>268</v>
      </c>
      <c r="AB44" s="3"/>
      <c r="AC44" s="3"/>
      <c r="AD44" s="3"/>
    </row>
    <row r="45" spans="1:30" ht="14.25" thickTop="1" thickBot="1">
      <c r="A45" s="117">
        <v>42</v>
      </c>
      <c r="B45" s="114"/>
      <c r="C45" s="79"/>
      <c r="D45" s="79" t="s">
        <v>1271</v>
      </c>
      <c r="E45" s="79"/>
      <c r="F45" s="79"/>
      <c r="G45" s="79"/>
      <c r="H45" s="79"/>
      <c r="I45" s="81">
        <f ca="1">SUM(I48:I54)</f>
        <v>445.21500000000009</v>
      </c>
      <c r="J45" s="3"/>
      <c r="K45" s="114"/>
      <c r="L45" s="79" t="s">
        <v>1271</v>
      </c>
      <c r="M45" s="81">
        <f>SUM(M48:M54)</f>
        <v>424.90000000000003</v>
      </c>
      <c r="N45" s="3"/>
      <c r="O45" s="114"/>
      <c r="P45" s="79" t="s">
        <v>1271</v>
      </c>
      <c r="Q45" s="81">
        <f>SUM(Q48:Q54)</f>
        <v>572.98</v>
      </c>
      <c r="R45" s="3"/>
      <c r="S45" s="114"/>
      <c r="T45" s="79" t="s">
        <v>1271</v>
      </c>
      <c r="U45" s="81">
        <f>SUM(U48:U54)</f>
        <v>563.47</v>
      </c>
      <c r="V45" s="3"/>
      <c r="W45" s="114"/>
      <c r="X45" s="79" t="s">
        <v>1271</v>
      </c>
      <c r="Y45" s="81">
        <f>SUM(Y48:Y54)</f>
        <v>535.0575</v>
      </c>
      <c r="Z45" s="3"/>
      <c r="AA45" s="114"/>
      <c r="AB45" s="79" t="s">
        <v>1271</v>
      </c>
      <c r="AC45" s="81">
        <f>SUM(AC48:AC54)</f>
        <v>572.23749999999995</v>
      </c>
      <c r="AD45" s="3"/>
    </row>
    <row r="46" spans="1:30" ht="13.5" thickBot="1">
      <c r="A46" s="117">
        <v>43</v>
      </c>
      <c r="B46" s="82" t="s">
        <v>1484</v>
      </c>
      <c r="C46" s="83"/>
      <c r="D46" s="83" t="s">
        <v>1270</v>
      </c>
      <c r="E46" s="83"/>
      <c r="F46" s="83"/>
      <c r="G46" s="83"/>
      <c r="H46" s="83"/>
      <c r="I46" s="83"/>
      <c r="J46" s="3"/>
      <c r="K46" s="82" t="s">
        <v>1484</v>
      </c>
      <c r="L46" s="83" t="s">
        <v>1270</v>
      </c>
      <c r="M46" s="83"/>
      <c r="N46" s="3"/>
      <c r="O46" s="82" t="s">
        <v>1484</v>
      </c>
      <c r="P46" s="83" t="s">
        <v>1270</v>
      </c>
      <c r="Q46" s="83"/>
      <c r="R46" s="3"/>
      <c r="S46" s="82" t="s">
        <v>1484</v>
      </c>
      <c r="T46" s="83" t="s">
        <v>1270</v>
      </c>
      <c r="U46" s="83"/>
      <c r="V46" s="3"/>
      <c r="W46" s="82" t="s">
        <v>1484</v>
      </c>
      <c r="X46" s="83" t="s">
        <v>1270</v>
      </c>
      <c r="Y46" s="83"/>
      <c r="Z46" s="3"/>
      <c r="AA46" s="82" t="s">
        <v>1484</v>
      </c>
      <c r="AB46" s="83" t="s">
        <v>1270</v>
      </c>
      <c r="AC46" s="83"/>
      <c r="AD46" s="3"/>
    </row>
    <row r="47" spans="1:30" ht="13.5" thickBot="1">
      <c r="A47" s="117">
        <v>44</v>
      </c>
      <c r="B47" s="16" t="s">
        <v>1269</v>
      </c>
      <c r="C47" s="37"/>
      <c r="D47" s="37" t="str">
        <f>PROPER(units)</f>
        <v>Grams</v>
      </c>
      <c r="E47" s="37"/>
      <c r="F47" s="37"/>
      <c r="G47" s="37"/>
      <c r="H47" s="37"/>
      <c r="I47" s="36" t="s">
        <v>1474</v>
      </c>
      <c r="J47" s="3"/>
      <c r="K47" s="16" t="s">
        <v>1269</v>
      </c>
      <c r="L47" s="37" t="str">
        <f>PROPER(units)</f>
        <v>Grams</v>
      </c>
      <c r="M47" s="36" t="s">
        <v>1474</v>
      </c>
      <c r="N47" s="3"/>
      <c r="O47" s="16" t="s">
        <v>1269</v>
      </c>
      <c r="P47" s="37" t="str">
        <f>PROPER(units)</f>
        <v>Grams</v>
      </c>
      <c r="Q47" s="36" t="s">
        <v>1474</v>
      </c>
      <c r="R47" s="3"/>
      <c r="S47" s="16" t="s">
        <v>1269</v>
      </c>
      <c r="T47" s="37" t="str">
        <f>PROPER(units)</f>
        <v>Grams</v>
      </c>
      <c r="U47" s="36" t="s">
        <v>1474</v>
      </c>
      <c r="V47" s="3"/>
      <c r="W47" s="16" t="s">
        <v>1269</v>
      </c>
      <c r="X47" s="37" t="str">
        <f>PROPER(units)</f>
        <v>Grams</v>
      </c>
      <c r="Y47" s="36" t="s">
        <v>1474</v>
      </c>
      <c r="Z47" s="3"/>
      <c r="AA47" s="16" t="s">
        <v>1269</v>
      </c>
      <c r="AB47" s="37" t="str">
        <f>PROPER(units)</f>
        <v>Grams</v>
      </c>
      <c r="AC47" s="36" t="s">
        <v>1474</v>
      </c>
      <c r="AD47" s="3"/>
    </row>
    <row r="48" spans="1:30">
      <c r="A48" s="117">
        <v>45</v>
      </c>
      <c r="B48" s="45" t="str">
        <f t="shared" ref="B48:B54" ca="1" si="52">INDEX(INDIRECT(Body.db),A48,1)</f>
        <v>* CHICKEN BREAST,NO SKIN,RAW</v>
      </c>
      <c r="C48" s="104">
        <f t="shared" ref="C48:C54" ca="1" si="53">IF(B48&gt;0,IF(G48-E48&gt;E48-H48,H48,G48),)</f>
        <v>156.20000000000002</v>
      </c>
      <c r="D48" s="48">
        <f t="shared" ref="D48:D54" ca="1" si="54">INDEX(INDIRECT(VLOOKUP(Body.type,Body_type,5,FALSE)),A48,2)</f>
        <v>142</v>
      </c>
      <c r="E48" s="104">
        <f t="shared" ref="E48:E54" ca="1" si="55">IF(B48&gt;0,D48*$J$4,)</f>
        <v>159.22255387687193</v>
      </c>
      <c r="F48" s="104">
        <f t="shared" ref="F48:F54" ca="1" si="56">IF(B48&gt;0,VLOOKUP(B48,Food_Database,9,FALSE),)</f>
        <v>14.200000000000001</v>
      </c>
      <c r="G48" s="104">
        <f t="shared" ref="G48:G54" ca="1" si="57">IF(B48&gt;0,CEILING(E48,F48),)</f>
        <v>170.4</v>
      </c>
      <c r="H48" s="104">
        <f t="shared" ref="H48:H54" ca="1" si="58">IF(B48&gt;0,FLOOR(E48,F48),)</f>
        <v>156.20000000000002</v>
      </c>
      <c r="I48" s="41">
        <f t="shared" ref="I48:I54" ca="1" si="59">IF(B48&gt;0,VLOOKUP(B48,Food_Database,2,FALSE)*C48/convert,)</f>
        <v>171.82000000000005</v>
      </c>
      <c r="J48" s="3"/>
      <c r="K48" s="45" t="s">
        <v>407</v>
      </c>
      <c r="L48" s="194">
        <v>142</v>
      </c>
      <c r="M48" s="41">
        <f t="shared" ref="M48:M54" si="60">IF(K48&gt;0,VLOOKUP(K48,Food_Database,2,FALSE)*L48/convert,)</f>
        <v>156.19999999999999</v>
      </c>
      <c r="N48" s="3"/>
      <c r="O48" s="46" t="s">
        <v>407</v>
      </c>
      <c r="P48" s="48">
        <v>220</v>
      </c>
      <c r="Q48" s="41">
        <f t="shared" ref="Q48:Q54" si="61">IF(O48&gt;0,VLOOKUP(O48,Food_Database,2,FALSE)*P48/convert,)</f>
        <v>242</v>
      </c>
      <c r="R48" s="3"/>
      <c r="S48" s="45" t="s">
        <v>407</v>
      </c>
      <c r="T48" s="194">
        <v>213.00000000000003</v>
      </c>
      <c r="U48" s="41">
        <f t="shared" ref="U48:U54" si="62">IF(S48&gt;0,VLOOKUP(S48,Food_Database,2,FALSE)*T48/convert,)</f>
        <v>234.30000000000004</v>
      </c>
      <c r="V48" s="3"/>
      <c r="W48" s="45" t="s">
        <v>407</v>
      </c>
      <c r="X48" s="194">
        <v>156.20000000000002</v>
      </c>
      <c r="Y48" s="41">
        <f t="shared" ref="Y48:Y54" si="63">IF(W48&gt;0,VLOOKUP(W48,Food_Database,2,FALSE)*X48/convert,)</f>
        <v>171.82000000000005</v>
      </c>
      <c r="Z48" s="3"/>
      <c r="AA48" s="45" t="s">
        <v>407</v>
      </c>
      <c r="AB48" s="194">
        <v>190</v>
      </c>
      <c r="AC48" s="41">
        <f t="shared" ref="AC48:AC54" si="64">IF(AA48&gt;0,VLOOKUP(AA48,Food_Database,2,FALSE)*AB48/convert,)</f>
        <v>209</v>
      </c>
      <c r="AD48" s="3"/>
    </row>
    <row r="49" spans="1:30">
      <c r="A49" s="117">
        <v>46</v>
      </c>
      <c r="B49" s="46" t="str">
        <f t="shared" ca="1" si="52"/>
        <v>* RICE,BROWN,MEDIUM-GRAIN,RAW</v>
      </c>
      <c r="C49" s="105">
        <f t="shared" ca="1" si="53"/>
        <v>71.25</v>
      </c>
      <c r="D49" s="49">
        <f t="shared" ca="1" si="54"/>
        <v>70</v>
      </c>
      <c r="E49" s="105">
        <f t="shared" ca="1" si="55"/>
        <v>78.489991347753758</v>
      </c>
      <c r="F49" s="105">
        <f t="shared" ca="1" si="56"/>
        <v>23.75</v>
      </c>
      <c r="G49" s="105">
        <f t="shared" ca="1" si="57"/>
        <v>95</v>
      </c>
      <c r="H49" s="105">
        <f t="shared" ca="1" si="58"/>
        <v>71.25</v>
      </c>
      <c r="I49" s="41">
        <f t="shared" ca="1" si="59"/>
        <v>257.92500000000001</v>
      </c>
      <c r="J49" s="3"/>
      <c r="K49" s="46" t="s">
        <v>223</v>
      </c>
      <c r="L49" s="195">
        <v>70</v>
      </c>
      <c r="M49" s="41">
        <f t="shared" si="60"/>
        <v>253.4</v>
      </c>
      <c r="N49" s="3"/>
      <c r="O49" s="46" t="s">
        <v>223</v>
      </c>
      <c r="P49" s="49">
        <v>48</v>
      </c>
      <c r="Q49" s="41">
        <f t="shared" si="61"/>
        <v>173.76</v>
      </c>
      <c r="R49" s="3"/>
      <c r="S49" s="46" t="s">
        <v>223</v>
      </c>
      <c r="T49" s="195">
        <v>47.5</v>
      </c>
      <c r="U49" s="41">
        <f t="shared" si="62"/>
        <v>171.95</v>
      </c>
      <c r="V49" s="3"/>
      <c r="W49" s="46" t="s">
        <v>223</v>
      </c>
      <c r="X49" s="195">
        <v>95</v>
      </c>
      <c r="Y49" s="41">
        <f t="shared" si="63"/>
        <v>343.9</v>
      </c>
      <c r="Z49" s="3"/>
      <c r="AA49" s="46" t="s">
        <v>223</v>
      </c>
      <c r="AB49" s="195">
        <v>95</v>
      </c>
      <c r="AC49" s="41">
        <f t="shared" si="64"/>
        <v>343.9</v>
      </c>
      <c r="AD49" s="3"/>
    </row>
    <row r="50" spans="1:30">
      <c r="A50" s="117">
        <v>47</v>
      </c>
      <c r="B50" s="46" t="str">
        <f t="shared" ca="1" si="52"/>
        <v>* BROCCOLI,RAW</v>
      </c>
      <c r="C50" s="105">
        <f t="shared" ca="1" si="53"/>
        <v>45.5</v>
      </c>
      <c r="D50" s="49">
        <f t="shared" ca="1" si="54"/>
        <v>45</v>
      </c>
      <c r="E50" s="105">
        <f t="shared" ca="1" si="55"/>
        <v>50.457851580698843</v>
      </c>
      <c r="F50" s="105">
        <f t="shared" ca="1" si="56"/>
        <v>11.375</v>
      </c>
      <c r="G50" s="105">
        <f t="shared" ca="1" si="57"/>
        <v>56.875</v>
      </c>
      <c r="H50" s="105">
        <f t="shared" ca="1" si="58"/>
        <v>45.5</v>
      </c>
      <c r="I50" s="41">
        <f t="shared" ca="1" si="59"/>
        <v>15.47</v>
      </c>
      <c r="J50" s="3"/>
      <c r="K50" s="46" t="s">
        <v>240</v>
      </c>
      <c r="L50" s="195">
        <v>45</v>
      </c>
      <c r="M50" s="41">
        <f t="shared" si="60"/>
        <v>15.3</v>
      </c>
      <c r="N50" s="3"/>
      <c r="O50" s="46" t="s">
        <v>240</v>
      </c>
      <c r="P50" s="49">
        <v>91</v>
      </c>
      <c r="Q50" s="41">
        <f t="shared" si="61"/>
        <v>30.94</v>
      </c>
      <c r="R50" s="3"/>
      <c r="S50" s="46" t="s">
        <v>240</v>
      </c>
      <c r="T50" s="195">
        <v>91</v>
      </c>
      <c r="U50" s="41">
        <f t="shared" si="62"/>
        <v>30.94</v>
      </c>
      <c r="V50" s="3"/>
      <c r="W50" s="46" t="s">
        <v>240</v>
      </c>
      <c r="X50" s="195">
        <v>56.875</v>
      </c>
      <c r="Y50" s="41">
        <f t="shared" si="63"/>
        <v>19.337499999999999</v>
      </c>
      <c r="Z50" s="3"/>
      <c r="AA50" s="46" t="s">
        <v>240</v>
      </c>
      <c r="AB50" s="195">
        <v>56.875</v>
      </c>
      <c r="AC50" s="41">
        <f t="shared" si="64"/>
        <v>19.337499999999999</v>
      </c>
      <c r="AD50" s="3"/>
    </row>
    <row r="51" spans="1:30">
      <c r="A51" s="117">
        <v>48</v>
      </c>
      <c r="B51" s="46">
        <f t="shared" ca="1" si="52"/>
        <v>0</v>
      </c>
      <c r="C51" s="105">
        <f t="shared" ca="1" si="53"/>
        <v>0</v>
      </c>
      <c r="D51" s="49">
        <f t="shared" ca="1" si="54"/>
        <v>0</v>
      </c>
      <c r="E51" s="105">
        <f t="shared" ca="1" si="55"/>
        <v>0</v>
      </c>
      <c r="F51" s="105">
        <f t="shared" ca="1" si="56"/>
        <v>0</v>
      </c>
      <c r="G51" s="105">
        <f t="shared" ca="1" si="57"/>
        <v>0</v>
      </c>
      <c r="H51" s="105">
        <f t="shared" ca="1" si="58"/>
        <v>0</v>
      </c>
      <c r="I51" s="41">
        <f t="shared" ca="1" si="59"/>
        <v>0</v>
      </c>
      <c r="J51" s="3"/>
      <c r="K51" s="46"/>
      <c r="L51" s="52"/>
      <c r="M51" s="41">
        <f t="shared" si="60"/>
        <v>0</v>
      </c>
      <c r="N51" s="3"/>
      <c r="O51" s="46" t="s">
        <v>181</v>
      </c>
      <c r="P51" s="49">
        <v>14</v>
      </c>
      <c r="Q51" s="41">
        <f t="shared" si="61"/>
        <v>126.28</v>
      </c>
      <c r="R51" s="3"/>
      <c r="S51" s="46" t="s">
        <v>181</v>
      </c>
      <c r="T51" s="195">
        <v>14</v>
      </c>
      <c r="U51" s="41">
        <f t="shared" si="62"/>
        <v>126.28</v>
      </c>
      <c r="V51" s="3"/>
      <c r="W51" s="46"/>
      <c r="X51" s="52"/>
      <c r="Y51" s="41">
        <f t="shared" si="63"/>
        <v>0</v>
      </c>
      <c r="Z51" s="3"/>
      <c r="AA51" s="46"/>
      <c r="AB51" s="52"/>
      <c r="AC51" s="41">
        <f t="shared" si="64"/>
        <v>0</v>
      </c>
      <c r="AD51" s="3"/>
    </row>
    <row r="52" spans="1:30">
      <c r="A52" s="117">
        <v>49</v>
      </c>
      <c r="B52" s="46">
        <f t="shared" ca="1" si="52"/>
        <v>0</v>
      </c>
      <c r="C52" s="105">
        <f t="shared" ca="1" si="53"/>
        <v>0</v>
      </c>
      <c r="D52" s="49">
        <f t="shared" ca="1" si="54"/>
        <v>0</v>
      </c>
      <c r="E52" s="105">
        <f t="shared" ca="1" si="55"/>
        <v>0</v>
      </c>
      <c r="F52" s="105">
        <f t="shared" ca="1" si="56"/>
        <v>0</v>
      </c>
      <c r="G52" s="105">
        <f t="shared" ca="1" si="57"/>
        <v>0</v>
      </c>
      <c r="H52" s="105">
        <f t="shared" ca="1" si="58"/>
        <v>0</v>
      </c>
      <c r="I52" s="41">
        <f t="shared" ca="1" si="59"/>
        <v>0</v>
      </c>
      <c r="J52" s="3"/>
      <c r="K52" s="46"/>
      <c r="L52" s="52"/>
      <c r="M52" s="41">
        <f t="shared" si="60"/>
        <v>0</v>
      </c>
      <c r="N52" s="3"/>
      <c r="O52" s="46"/>
      <c r="P52" s="49"/>
      <c r="Q52" s="41">
        <f t="shared" si="61"/>
        <v>0</v>
      </c>
      <c r="R52" s="3"/>
      <c r="S52" s="46"/>
      <c r="T52" s="52"/>
      <c r="U52" s="41">
        <f t="shared" si="62"/>
        <v>0</v>
      </c>
      <c r="V52" s="3"/>
      <c r="W52" s="46"/>
      <c r="X52" s="52"/>
      <c r="Y52" s="41">
        <f t="shared" si="63"/>
        <v>0</v>
      </c>
      <c r="Z52" s="3"/>
      <c r="AA52" s="46"/>
      <c r="AB52" s="52"/>
      <c r="AC52" s="41">
        <f t="shared" si="64"/>
        <v>0</v>
      </c>
      <c r="AD52" s="3"/>
    </row>
    <row r="53" spans="1:30">
      <c r="A53" s="117">
        <v>50</v>
      </c>
      <c r="B53" s="46">
        <f t="shared" ca="1" si="52"/>
        <v>0</v>
      </c>
      <c r="C53" s="105">
        <f t="shared" ca="1" si="53"/>
        <v>0</v>
      </c>
      <c r="D53" s="49">
        <f t="shared" ca="1" si="54"/>
        <v>0</v>
      </c>
      <c r="E53" s="105">
        <f t="shared" ca="1" si="55"/>
        <v>0</v>
      </c>
      <c r="F53" s="105">
        <f t="shared" ca="1" si="56"/>
        <v>0</v>
      </c>
      <c r="G53" s="105">
        <f t="shared" ca="1" si="57"/>
        <v>0</v>
      </c>
      <c r="H53" s="105">
        <f t="shared" ca="1" si="58"/>
        <v>0</v>
      </c>
      <c r="I53" s="41">
        <f t="shared" ca="1" si="59"/>
        <v>0</v>
      </c>
      <c r="J53" s="3"/>
      <c r="K53" s="46"/>
      <c r="L53" s="52"/>
      <c r="M53" s="41">
        <f t="shared" si="60"/>
        <v>0</v>
      </c>
      <c r="N53" s="3"/>
      <c r="O53" s="46"/>
      <c r="P53" s="52"/>
      <c r="Q53" s="41">
        <f t="shared" si="61"/>
        <v>0</v>
      </c>
      <c r="R53" s="3"/>
      <c r="S53" s="46"/>
      <c r="T53" s="52"/>
      <c r="U53" s="41">
        <f t="shared" si="62"/>
        <v>0</v>
      </c>
      <c r="V53" s="3"/>
      <c r="W53" s="46"/>
      <c r="X53" s="52"/>
      <c r="Y53" s="41">
        <f t="shared" si="63"/>
        <v>0</v>
      </c>
      <c r="Z53" s="3"/>
      <c r="AA53" s="46"/>
      <c r="AB53" s="52"/>
      <c r="AC53" s="41">
        <f t="shared" si="64"/>
        <v>0</v>
      </c>
      <c r="AD53" s="3"/>
    </row>
    <row r="54" spans="1:30" ht="13.5" thickBot="1">
      <c r="A54" s="117">
        <v>51</v>
      </c>
      <c r="B54" s="47">
        <f t="shared" ca="1" si="52"/>
        <v>0</v>
      </c>
      <c r="C54" s="106">
        <f t="shared" ca="1" si="53"/>
        <v>0</v>
      </c>
      <c r="D54" s="50">
        <f t="shared" ca="1" si="54"/>
        <v>0</v>
      </c>
      <c r="E54" s="106">
        <f t="shared" ca="1" si="55"/>
        <v>0</v>
      </c>
      <c r="F54" s="106">
        <f t="shared" ca="1" si="56"/>
        <v>0</v>
      </c>
      <c r="G54" s="106">
        <f t="shared" ca="1" si="57"/>
        <v>0</v>
      </c>
      <c r="H54" s="106">
        <f t="shared" ca="1" si="58"/>
        <v>0</v>
      </c>
      <c r="I54" s="44">
        <f t="shared" ca="1" si="59"/>
        <v>0</v>
      </c>
      <c r="J54" s="3"/>
      <c r="K54" s="47"/>
      <c r="L54" s="53"/>
      <c r="M54" s="44">
        <f t="shared" si="60"/>
        <v>0</v>
      </c>
      <c r="N54" s="3"/>
      <c r="O54" s="47"/>
      <c r="P54" s="53"/>
      <c r="Q54" s="44">
        <f t="shared" si="61"/>
        <v>0</v>
      </c>
      <c r="R54" s="3"/>
      <c r="S54" s="47"/>
      <c r="T54" s="53"/>
      <c r="U54" s="44">
        <f t="shared" si="62"/>
        <v>0</v>
      </c>
      <c r="V54" s="3"/>
      <c r="W54" s="47"/>
      <c r="X54" s="53"/>
      <c r="Y54" s="44">
        <f t="shared" si="63"/>
        <v>0</v>
      </c>
      <c r="Z54" s="3"/>
      <c r="AA54" s="47"/>
      <c r="AB54" s="53"/>
      <c r="AC54" s="44">
        <f t="shared" si="64"/>
        <v>0</v>
      </c>
      <c r="AD54" s="3"/>
    </row>
    <row r="55" spans="1:30" ht="13.5" thickBot="1">
      <c r="A55" s="117">
        <v>52</v>
      </c>
      <c r="B55" s="77" t="s">
        <v>268</v>
      </c>
      <c r="C55" s="3"/>
      <c r="D55" s="3"/>
      <c r="E55" s="3"/>
      <c r="F55" s="3"/>
      <c r="G55" s="3"/>
      <c r="H55" s="3"/>
      <c r="I55" s="3"/>
      <c r="J55" s="3"/>
      <c r="K55" s="77" t="s">
        <v>268</v>
      </c>
      <c r="L55" s="3"/>
      <c r="M55" s="3"/>
      <c r="N55" s="3"/>
      <c r="O55" s="77" t="s">
        <v>268</v>
      </c>
      <c r="P55" s="3"/>
      <c r="Q55" s="3"/>
      <c r="R55" s="3"/>
      <c r="S55" s="77" t="s">
        <v>268</v>
      </c>
      <c r="T55" s="3"/>
      <c r="U55" s="3"/>
      <c r="V55" s="3"/>
      <c r="W55" s="77" t="s">
        <v>268</v>
      </c>
      <c r="X55" s="3"/>
      <c r="Y55" s="3"/>
      <c r="Z55" s="3"/>
      <c r="AA55" s="77" t="s">
        <v>268</v>
      </c>
      <c r="AB55" s="3"/>
      <c r="AC55" s="3"/>
      <c r="AD55" s="3"/>
    </row>
    <row r="56" spans="1:30" ht="14.25" thickTop="1" thickBot="1">
      <c r="A56" s="117">
        <v>53</v>
      </c>
      <c r="B56" s="78"/>
      <c r="C56" s="79"/>
      <c r="D56" s="79" t="s">
        <v>1271</v>
      </c>
      <c r="E56" s="79"/>
      <c r="F56" s="79"/>
      <c r="G56" s="79"/>
      <c r="H56" s="79"/>
      <c r="I56" s="81">
        <f ca="1">SUM(I59:I65)</f>
        <v>453.06</v>
      </c>
      <c r="J56" s="3"/>
      <c r="K56" s="78"/>
      <c r="L56" s="79" t="s">
        <v>1271</v>
      </c>
      <c r="M56" s="81">
        <f>SUM(M59:M65)</f>
        <v>406.4</v>
      </c>
      <c r="N56" s="3"/>
      <c r="O56" s="78"/>
      <c r="P56" s="79" t="s">
        <v>1271</v>
      </c>
      <c r="Q56" s="81">
        <f>SUM(Q59:Q65)</f>
        <v>572.96249999999998</v>
      </c>
      <c r="R56" s="3"/>
      <c r="S56" s="78"/>
      <c r="T56" s="79" t="s">
        <v>1271</v>
      </c>
      <c r="U56" s="81">
        <f>SUM(U59:U65)</f>
        <v>563.43250000000012</v>
      </c>
      <c r="V56" s="3"/>
      <c r="W56" s="78"/>
      <c r="X56" s="79" t="s">
        <v>1271</v>
      </c>
      <c r="Y56" s="81">
        <f>SUM(Y59:Y65)</f>
        <v>626.76</v>
      </c>
      <c r="Z56" s="3"/>
      <c r="AA56" s="78"/>
      <c r="AB56" s="79" t="s">
        <v>1271</v>
      </c>
      <c r="AC56" s="81">
        <f>SUM(AC59:AC65)</f>
        <v>342.46000000000004</v>
      </c>
      <c r="AD56" s="3"/>
    </row>
    <row r="57" spans="1:30" ht="13.5" thickBot="1">
      <c r="A57" s="117">
        <v>54</v>
      </c>
      <c r="B57" s="82" t="s">
        <v>202</v>
      </c>
      <c r="C57" s="83"/>
      <c r="D57" s="83" t="s">
        <v>1270</v>
      </c>
      <c r="E57" s="83"/>
      <c r="F57" s="83"/>
      <c r="G57" s="83"/>
      <c r="H57" s="83"/>
      <c r="I57" s="83"/>
      <c r="J57" s="3"/>
      <c r="K57" s="82" t="s">
        <v>1481</v>
      </c>
      <c r="L57" s="83" t="s">
        <v>1270</v>
      </c>
      <c r="M57" s="83"/>
      <c r="N57" s="3"/>
      <c r="O57" s="82" t="s">
        <v>1481</v>
      </c>
      <c r="P57" s="83" t="s">
        <v>1270</v>
      </c>
      <c r="Q57" s="83"/>
      <c r="R57" s="3"/>
      <c r="S57" s="82" t="s">
        <v>1481</v>
      </c>
      <c r="T57" s="83" t="s">
        <v>1270</v>
      </c>
      <c r="U57" s="83"/>
      <c r="V57" s="3"/>
      <c r="W57" s="82" t="s">
        <v>1481</v>
      </c>
      <c r="X57" s="83" t="s">
        <v>1270</v>
      </c>
      <c r="Y57" s="83"/>
      <c r="Z57" s="3"/>
      <c r="AA57" s="82" t="s">
        <v>1481</v>
      </c>
      <c r="AB57" s="83" t="s">
        <v>1270</v>
      </c>
      <c r="AC57" s="83"/>
      <c r="AD57" s="3"/>
    </row>
    <row r="58" spans="1:30" ht="13.5" thickBot="1">
      <c r="A58" s="117">
        <v>55</v>
      </c>
      <c r="B58" s="16" t="s">
        <v>1269</v>
      </c>
      <c r="C58" s="37"/>
      <c r="D58" s="37" t="str">
        <f>PROPER(units)</f>
        <v>Grams</v>
      </c>
      <c r="E58" s="37"/>
      <c r="F58" s="37"/>
      <c r="G58" s="37"/>
      <c r="H58" s="37"/>
      <c r="I58" s="36" t="s">
        <v>1474</v>
      </c>
      <c r="J58" s="3"/>
      <c r="K58" s="16" t="s">
        <v>1269</v>
      </c>
      <c r="L58" s="37" t="str">
        <f>PROPER(units)</f>
        <v>Grams</v>
      </c>
      <c r="M58" s="36" t="s">
        <v>1474</v>
      </c>
      <c r="N58" s="3"/>
      <c r="O58" s="16" t="s">
        <v>1269</v>
      </c>
      <c r="P58" s="37" t="str">
        <f>PROPER(units)</f>
        <v>Grams</v>
      </c>
      <c r="Q58" s="36" t="s">
        <v>1474</v>
      </c>
      <c r="R58" s="3"/>
      <c r="S58" s="16" t="s">
        <v>1269</v>
      </c>
      <c r="T58" s="37" t="str">
        <f>PROPER(units)</f>
        <v>Grams</v>
      </c>
      <c r="U58" s="36" t="s">
        <v>1474</v>
      </c>
      <c r="V58" s="3"/>
      <c r="W58" s="16" t="s">
        <v>1269</v>
      </c>
      <c r="X58" s="37" t="str">
        <f>PROPER(units)</f>
        <v>Grams</v>
      </c>
      <c r="Y58" s="36" t="s">
        <v>1474</v>
      </c>
      <c r="Z58" s="3"/>
      <c r="AA58" s="16" t="s">
        <v>1269</v>
      </c>
      <c r="AB58" s="37" t="str">
        <f>PROPER(units)</f>
        <v>Grams</v>
      </c>
      <c r="AC58" s="36" t="s">
        <v>1474</v>
      </c>
      <c r="AD58" s="3"/>
    </row>
    <row r="59" spans="1:30">
      <c r="A59" s="117">
        <v>56</v>
      </c>
      <c r="B59" s="45" t="str">
        <f t="shared" ref="B59:B65" ca="1" si="65">INDEX(INDIRECT(Body.db),A59,1)</f>
        <v>* CHICKEN BREAST,NO SKIN,RAW</v>
      </c>
      <c r="C59" s="104">
        <f t="shared" ref="C59:C65" ca="1" si="66">IF(B59&gt;0,IF(G59-E59&gt;E59-H59,H59,G59),)</f>
        <v>184.60000000000002</v>
      </c>
      <c r="D59" s="48">
        <f t="shared" ref="D59:D65" ca="1" si="67">INDEX(INDIRECT(VLOOKUP(Body.type,Body_type,5,FALSE)),A59,2)</f>
        <v>160</v>
      </c>
      <c r="E59" s="104">
        <f t="shared" ref="E59:E65" ca="1" si="68">IF(B59&gt;0,D59*$J$4,)</f>
        <v>179.40569450915146</v>
      </c>
      <c r="F59" s="104">
        <f t="shared" ref="F59:F65" ca="1" si="69">IF(B59&gt;0,VLOOKUP(B59,Food_Database,9,FALSE),)</f>
        <v>14.200000000000001</v>
      </c>
      <c r="G59" s="104">
        <f t="shared" ref="G59:G65" ca="1" si="70">IF(B59&gt;0,CEILING(E59,F59),)</f>
        <v>184.60000000000002</v>
      </c>
      <c r="H59" s="104">
        <f t="shared" ref="H59:H65" ca="1" si="71">IF(B59&gt;0,FLOOR(E59,F59),)</f>
        <v>170.4</v>
      </c>
      <c r="I59" s="41">
        <f t="shared" ref="I59:I65" ca="1" si="72">IF(B59&gt;0,VLOOKUP(B59,Food_Database,2,FALSE)*C59/convert,)</f>
        <v>203.06000000000003</v>
      </c>
      <c r="J59" s="3"/>
      <c r="K59" s="45" t="s">
        <v>407</v>
      </c>
      <c r="L59" s="194">
        <v>160</v>
      </c>
      <c r="M59" s="41">
        <f t="shared" ref="M59:M65" si="73">IF(K59&gt;0,VLOOKUP(K59,Food_Database,2,FALSE)*L59/convert,)</f>
        <v>176</v>
      </c>
      <c r="N59" s="3"/>
      <c r="O59" s="45" t="s">
        <v>407</v>
      </c>
      <c r="P59" s="194">
        <v>230</v>
      </c>
      <c r="Q59" s="41">
        <f t="shared" ref="Q59:Q65" si="74">IF(O59&gt;0,VLOOKUP(O59,Food_Database,2,FALSE)*P59/convert,)</f>
        <v>253</v>
      </c>
      <c r="R59" s="3"/>
      <c r="S59" s="45" t="s">
        <v>407</v>
      </c>
      <c r="T59" s="194">
        <v>227.20000000000002</v>
      </c>
      <c r="U59" s="41">
        <f t="shared" ref="U59:U65" si="75">IF(S59&gt;0,VLOOKUP(S59,Food_Database,2,FALSE)*T59/convert,)</f>
        <v>249.92000000000004</v>
      </c>
      <c r="V59" s="3"/>
      <c r="W59" s="45" t="s">
        <v>407</v>
      </c>
      <c r="X59" s="194">
        <v>184.60000000000002</v>
      </c>
      <c r="Y59" s="41">
        <f t="shared" ref="Y59:Y65" si="76">IF(W59&gt;0,VLOOKUP(W59,Food_Database,2,FALSE)*X59/convert,)</f>
        <v>203.06000000000003</v>
      </c>
      <c r="Z59" s="3"/>
      <c r="AA59" s="45" t="s">
        <v>407</v>
      </c>
      <c r="AB59" s="194">
        <v>184.60000000000002</v>
      </c>
      <c r="AC59" s="41">
        <f t="shared" ref="AC59:AC65" si="77">IF(AA59&gt;0,VLOOKUP(AA59,Food_Database,2,FALSE)*AB59/convert,)</f>
        <v>203.06000000000003</v>
      </c>
      <c r="AD59" s="3"/>
    </row>
    <row r="60" spans="1:30">
      <c r="A60" s="117">
        <v>57</v>
      </c>
      <c r="B60" s="46" t="str">
        <f t="shared" ca="1" si="65"/>
        <v>* SWEET POTATO,RAW</v>
      </c>
      <c r="C60" s="105">
        <f t="shared" ca="1" si="66"/>
        <v>260</v>
      </c>
      <c r="D60" s="49">
        <f t="shared" ca="1" si="67"/>
        <v>240</v>
      </c>
      <c r="E60" s="105">
        <f t="shared" ca="1" si="68"/>
        <v>269.1085417637272</v>
      </c>
      <c r="F60" s="105">
        <f t="shared" ca="1" si="69"/>
        <v>32.5</v>
      </c>
      <c r="G60" s="105">
        <f t="shared" ca="1" si="70"/>
        <v>292.5</v>
      </c>
      <c r="H60" s="105">
        <f t="shared" ca="1" si="71"/>
        <v>260</v>
      </c>
      <c r="I60" s="41">
        <f t="shared" ca="1" si="72"/>
        <v>223.6</v>
      </c>
      <c r="J60" s="3"/>
      <c r="K60" s="46" t="s">
        <v>248</v>
      </c>
      <c r="L60" s="195">
        <v>240</v>
      </c>
      <c r="M60" s="41">
        <f t="shared" si="73"/>
        <v>206.4</v>
      </c>
      <c r="N60" s="3"/>
      <c r="O60" s="46" t="s">
        <v>248</v>
      </c>
      <c r="P60" s="195">
        <v>170</v>
      </c>
      <c r="Q60" s="41">
        <f t="shared" si="74"/>
        <v>146.19999999999999</v>
      </c>
      <c r="R60" s="3"/>
      <c r="S60" s="46" t="s">
        <v>248</v>
      </c>
      <c r="T60" s="195">
        <v>162.5</v>
      </c>
      <c r="U60" s="41">
        <f t="shared" si="75"/>
        <v>139.75</v>
      </c>
      <c r="V60" s="3"/>
      <c r="W60" s="46" t="s">
        <v>248</v>
      </c>
      <c r="X60" s="195">
        <v>260</v>
      </c>
      <c r="Y60" s="41">
        <f t="shared" si="76"/>
        <v>223.6</v>
      </c>
      <c r="Z60" s="3"/>
      <c r="AA60" s="46" t="s">
        <v>248</v>
      </c>
      <c r="AB60" s="195">
        <v>130</v>
      </c>
      <c r="AC60" s="41">
        <f t="shared" si="77"/>
        <v>111.8</v>
      </c>
      <c r="AD60" s="3"/>
    </row>
    <row r="61" spans="1:30">
      <c r="A61" s="117">
        <v>58</v>
      </c>
      <c r="B61" s="46" t="str">
        <f t="shared" ca="1" si="65"/>
        <v>* ASPARAGUS,RAW</v>
      </c>
      <c r="C61" s="105">
        <f t="shared" ca="1" si="66"/>
        <v>132</v>
      </c>
      <c r="D61" s="49">
        <f t="shared" ca="1" si="67"/>
        <v>120</v>
      </c>
      <c r="E61" s="105">
        <f t="shared" ca="1" si="68"/>
        <v>134.5542708818636</v>
      </c>
      <c r="F61" s="105">
        <f t="shared" ca="1" si="69"/>
        <v>6</v>
      </c>
      <c r="G61" s="105">
        <f t="shared" ca="1" si="70"/>
        <v>138</v>
      </c>
      <c r="H61" s="105">
        <f t="shared" ca="1" si="71"/>
        <v>132</v>
      </c>
      <c r="I61" s="41">
        <f t="shared" ca="1" si="72"/>
        <v>26.4</v>
      </c>
      <c r="J61" s="3"/>
      <c r="K61" s="46" t="s">
        <v>237</v>
      </c>
      <c r="L61" s="195">
        <v>120</v>
      </c>
      <c r="M61" s="41">
        <f t="shared" si="73"/>
        <v>24</v>
      </c>
      <c r="N61" s="3"/>
      <c r="O61" s="46" t="s">
        <v>237</v>
      </c>
      <c r="P61" s="195">
        <v>186</v>
      </c>
      <c r="Q61" s="41">
        <f t="shared" si="74"/>
        <v>37.200000000000003</v>
      </c>
      <c r="R61" s="3"/>
      <c r="S61" s="46" t="s">
        <v>237</v>
      </c>
      <c r="T61" s="195">
        <v>186</v>
      </c>
      <c r="U61" s="41">
        <f t="shared" si="75"/>
        <v>37.200000000000003</v>
      </c>
      <c r="V61" s="3"/>
      <c r="W61" s="46" t="s">
        <v>237</v>
      </c>
      <c r="X61" s="195">
        <v>138</v>
      </c>
      <c r="Y61" s="41">
        <f t="shared" si="76"/>
        <v>27.6</v>
      </c>
      <c r="Z61" s="3"/>
      <c r="AA61" s="46" t="s">
        <v>237</v>
      </c>
      <c r="AB61" s="195">
        <v>138</v>
      </c>
      <c r="AC61" s="41">
        <f t="shared" si="77"/>
        <v>27.6</v>
      </c>
      <c r="AD61" s="3"/>
    </row>
    <row r="62" spans="1:30">
      <c r="A62" s="117">
        <v>59</v>
      </c>
      <c r="B62" s="46">
        <f t="shared" ca="1" si="65"/>
        <v>0</v>
      </c>
      <c r="C62" s="105">
        <f t="shared" ca="1" si="66"/>
        <v>0</v>
      </c>
      <c r="D62" s="49">
        <f t="shared" ca="1" si="67"/>
        <v>0</v>
      </c>
      <c r="E62" s="105">
        <f t="shared" ca="1" si="68"/>
        <v>0</v>
      </c>
      <c r="F62" s="105">
        <f t="shared" ca="1" si="69"/>
        <v>0</v>
      </c>
      <c r="G62" s="105">
        <f t="shared" ca="1" si="70"/>
        <v>0</v>
      </c>
      <c r="H62" s="105">
        <f t="shared" ca="1" si="71"/>
        <v>0</v>
      </c>
      <c r="I62" s="41">
        <f t="shared" ca="1" si="72"/>
        <v>0</v>
      </c>
      <c r="J62" s="3"/>
      <c r="K62" s="46"/>
      <c r="L62" s="52"/>
      <c r="M62" s="41">
        <f t="shared" si="73"/>
        <v>0</v>
      </c>
      <c r="N62" s="3"/>
      <c r="O62" s="46" t="s">
        <v>250</v>
      </c>
      <c r="P62" s="195">
        <v>23.75</v>
      </c>
      <c r="Q62" s="41">
        <f t="shared" si="74"/>
        <v>136.5625</v>
      </c>
      <c r="R62" s="3"/>
      <c r="S62" s="46" t="s">
        <v>250</v>
      </c>
      <c r="T62" s="195">
        <v>23.75</v>
      </c>
      <c r="U62" s="41">
        <f t="shared" si="75"/>
        <v>136.5625</v>
      </c>
      <c r="V62" s="3"/>
      <c r="W62" s="46" t="s">
        <v>250</v>
      </c>
      <c r="X62" s="195">
        <v>30</v>
      </c>
      <c r="Y62" s="41">
        <f t="shared" si="76"/>
        <v>172.5</v>
      </c>
      <c r="Z62" s="3"/>
      <c r="AA62" s="46"/>
      <c r="AB62" s="52"/>
      <c r="AC62" s="41">
        <f t="shared" si="77"/>
        <v>0</v>
      </c>
      <c r="AD62" s="3"/>
    </row>
    <row r="63" spans="1:30">
      <c r="A63" s="117">
        <v>60</v>
      </c>
      <c r="B63" s="46">
        <f t="shared" ca="1" si="65"/>
        <v>0</v>
      </c>
      <c r="C63" s="105">
        <f t="shared" ca="1" si="66"/>
        <v>0</v>
      </c>
      <c r="D63" s="49">
        <f t="shared" ca="1" si="67"/>
        <v>0</v>
      </c>
      <c r="E63" s="105">
        <f t="shared" ca="1" si="68"/>
        <v>0</v>
      </c>
      <c r="F63" s="105">
        <f t="shared" ca="1" si="69"/>
        <v>0</v>
      </c>
      <c r="G63" s="105">
        <f t="shared" ca="1" si="70"/>
        <v>0</v>
      </c>
      <c r="H63" s="105">
        <f t="shared" ca="1" si="71"/>
        <v>0</v>
      </c>
      <c r="I63" s="41">
        <f t="shared" ca="1" si="72"/>
        <v>0</v>
      </c>
      <c r="J63" s="3"/>
      <c r="K63" s="46"/>
      <c r="L63" s="52"/>
      <c r="M63" s="41">
        <f t="shared" si="73"/>
        <v>0</v>
      </c>
      <c r="N63" s="3"/>
      <c r="O63" s="46"/>
      <c r="P63" s="52"/>
      <c r="Q63" s="41">
        <f t="shared" si="74"/>
        <v>0</v>
      </c>
      <c r="R63" s="3"/>
      <c r="S63" s="46"/>
      <c r="T63" s="52"/>
      <c r="U63" s="41">
        <f t="shared" si="75"/>
        <v>0</v>
      </c>
      <c r="V63" s="3"/>
      <c r="W63" s="46"/>
      <c r="X63" s="52"/>
      <c r="Y63" s="41">
        <f t="shared" si="76"/>
        <v>0</v>
      </c>
      <c r="Z63" s="3"/>
      <c r="AA63" s="46"/>
      <c r="AB63" s="52"/>
      <c r="AC63" s="41">
        <f t="shared" si="77"/>
        <v>0</v>
      </c>
      <c r="AD63" s="3"/>
    </row>
    <row r="64" spans="1:30">
      <c r="A64" s="117">
        <v>61</v>
      </c>
      <c r="B64" s="46">
        <f t="shared" ca="1" si="65"/>
        <v>0</v>
      </c>
      <c r="C64" s="105">
        <f t="shared" ca="1" si="66"/>
        <v>0</v>
      </c>
      <c r="D64" s="49">
        <f t="shared" ca="1" si="67"/>
        <v>0</v>
      </c>
      <c r="E64" s="105">
        <f t="shared" ca="1" si="68"/>
        <v>0</v>
      </c>
      <c r="F64" s="105">
        <f t="shared" ca="1" si="69"/>
        <v>0</v>
      </c>
      <c r="G64" s="105">
        <f t="shared" ca="1" si="70"/>
        <v>0</v>
      </c>
      <c r="H64" s="105">
        <f t="shared" ca="1" si="71"/>
        <v>0</v>
      </c>
      <c r="I64" s="41">
        <f t="shared" ca="1" si="72"/>
        <v>0</v>
      </c>
      <c r="J64" s="3"/>
      <c r="K64" s="46"/>
      <c r="L64" s="52"/>
      <c r="M64" s="41">
        <f t="shared" si="73"/>
        <v>0</v>
      </c>
      <c r="N64" s="3"/>
      <c r="O64" s="46"/>
      <c r="P64" s="52"/>
      <c r="Q64" s="41">
        <f t="shared" si="74"/>
        <v>0</v>
      </c>
      <c r="R64" s="3"/>
      <c r="S64" s="46"/>
      <c r="T64" s="52"/>
      <c r="U64" s="41">
        <f t="shared" si="75"/>
        <v>0</v>
      </c>
      <c r="V64" s="3"/>
      <c r="W64" s="46"/>
      <c r="X64" s="52"/>
      <c r="Y64" s="41">
        <f t="shared" si="76"/>
        <v>0</v>
      </c>
      <c r="Z64" s="3"/>
      <c r="AA64" s="46"/>
      <c r="AB64" s="52"/>
      <c r="AC64" s="41">
        <f t="shared" si="77"/>
        <v>0</v>
      </c>
      <c r="AD64" s="3"/>
    </row>
    <row r="65" spans="1:30" ht="13.5" thickBot="1">
      <c r="A65" s="117">
        <v>62</v>
      </c>
      <c r="B65" s="47">
        <f t="shared" ca="1" si="65"/>
        <v>0</v>
      </c>
      <c r="C65" s="106">
        <f t="shared" ca="1" si="66"/>
        <v>0</v>
      </c>
      <c r="D65" s="50">
        <f t="shared" ca="1" si="67"/>
        <v>0</v>
      </c>
      <c r="E65" s="106">
        <f t="shared" ca="1" si="68"/>
        <v>0</v>
      </c>
      <c r="F65" s="106">
        <f t="shared" ca="1" si="69"/>
        <v>0</v>
      </c>
      <c r="G65" s="106">
        <f t="shared" ca="1" si="70"/>
        <v>0</v>
      </c>
      <c r="H65" s="106">
        <f t="shared" ca="1" si="71"/>
        <v>0</v>
      </c>
      <c r="I65" s="44">
        <f t="shared" ca="1" si="72"/>
        <v>0</v>
      </c>
      <c r="J65" s="3"/>
      <c r="K65" s="47"/>
      <c r="L65" s="53"/>
      <c r="M65" s="44">
        <f t="shared" si="73"/>
        <v>0</v>
      </c>
      <c r="N65" s="3"/>
      <c r="O65" s="47"/>
      <c r="P65" s="53"/>
      <c r="Q65" s="44">
        <f t="shared" si="74"/>
        <v>0</v>
      </c>
      <c r="R65" s="3"/>
      <c r="S65" s="47"/>
      <c r="T65" s="53"/>
      <c r="U65" s="44">
        <f t="shared" si="75"/>
        <v>0</v>
      </c>
      <c r="V65" s="3"/>
      <c r="W65" s="47"/>
      <c r="X65" s="53"/>
      <c r="Y65" s="44">
        <f t="shared" si="76"/>
        <v>0</v>
      </c>
      <c r="Z65" s="3"/>
      <c r="AA65" s="47"/>
      <c r="AB65" s="53"/>
      <c r="AC65" s="44">
        <f t="shared" si="77"/>
        <v>0</v>
      </c>
      <c r="AD65" s="3"/>
    </row>
    <row r="66" spans="1:30" ht="13.5" thickBot="1">
      <c r="A66" s="117">
        <v>63</v>
      </c>
      <c r="B66" s="77" t="s">
        <v>268</v>
      </c>
      <c r="C66" s="3"/>
      <c r="D66" s="3"/>
      <c r="E66" s="3"/>
      <c r="F66" s="3"/>
      <c r="G66" s="3"/>
      <c r="H66" s="3"/>
      <c r="I66" s="3"/>
      <c r="J66" s="3"/>
      <c r="K66" s="77" t="s">
        <v>268</v>
      </c>
      <c r="L66" s="3"/>
      <c r="M66" s="3"/>
      <c r="N66" s="3"/>
      <c r="O66" s="77" t="s">
        <v>268</v>
      </c>
      <c r="P66" s="3"/>
      <c r="Q66" s="3"/>
      <c r="R66" s="3"/>
      <c r="S66" s="77" t="s">
        <v>268</v>
      </c>
      <c r="T66" s="3"/>
      <c r="U66" s="3"/>
      <c r="V66" s="3"/>
      <c r="W66" s="77" t="s">
        <v>268</v>
      </c>
      <c r="X66" s="3"/>
      <c r="Y66" s="3"/>
      <c r="Z66" s="3"/>
      <c r="AA66" s="77" t="s">
        <v>268</v>
      </c>
      <c r="AB66" s="3"/>
      <c r="AC66" s="3"/>
      <c r="AD66" s="3"/>
    </row>
    <row r="67" spans="1:30" ht="14.25" thickTop="1" thickBot="1">
      <c r="A67" s="117">
        <v>64</v>
      </c>
      <c r="B67" s="78"/>
      <c r="C67" s="79"/>
      <c r="D67" s="79" t="s">
        <v>1271</v>
      </c>
      <c r="E67" s="79"/>
      <c r="F67" s="79"/>
      <c r="G67" s="79"/>
      <c r="H67" s="79"/>
      <c r="I67" s="81">
        <f ca="1">SUM(I70:I76)</f>
        <v>884.42624999999998</v>
      </c>
      <c r="J67" s="3"/>
      <c r="K67" s="78"/>
      <c r="L67" s="79" t="s">
        <v>1271</v>
      </c>
      <c r="M67" s="81">
        <f>SUM(M70:M76)</f>
        <v>799.05</v>
      </c>
      <c r="N67" s="3"/>
      <c r="O67" s="78"/>
      <c r="P67" s="79" t="s">
        <v>1271</v>
      </c>
      <c r="Q67" s="81">
        <f>SUM(Q70:Q76)</f>
        <v>782.57999999999993</v>
      </c>
      <c r="R67" s="3"/>
      <c r="S67" s="78"/>
      <c r="T67" s="79" t="s">
        <v>1271</v>
      </c>
      <c r="U67" s="81">
        <f>SUM(U70:U76)</f>
        <v>818.51749999999993</v>
      </c>
      <c r="V67" s="3"/>
      <c r="W67" s="78"/>
      <c r="X67" s="79" t="s">
        <v>1271</v>
      </c>
      <c r="Y67" s="81">
        <f>SUM(Y70:Y76)</f>
        <v>775.86624999999992</v>
      </c>
      <c r="Z67" s="3"/>
      <c r="AA67" s="78"/>
      <c r="AB67" s="79" t="s">
        <v>1271</v>
      </c>
      <c r="AC67" s="81">
        <f>SUM(AC70:AC76)</f>
        <v>789.25124999999991</v>
      </c>
      <c r="AD67" s="3"/>
    </row>
    <row r="68" spans="1:30" ht="13.5" thickBot="1">
      <c r="A68" s="117">
        <v>65</v>
      </c>
      <c r="B68" s="82" t="str">
        <f>"Meal "&amp;Meal.post&amp;" (Post workout)"</f>
        <v>Meal 0 (Post workout)</v>
      </c>
      <c r="C68" s="83"/>
      <c r="D68" s="83" t="s">
        <v>1270</v>
      </c>
      <c r="E68" s="83"/>
      <c r="F68" s="83"/>
      <c r="G68" s="83"/>
      <c r="H68" s="83"/>
      <c r="I68" s="83"/>
      <c r="J68" s="3"/>
      <c r="K68" s="82" t="s">
        <v>329</v>
      </c>
      <c r="L68" s="83" t="s">
        <v>1270</v>
      </c>
      <c r="M68" s="83"/>
      <c r="N68" s="3"/>
      <c r="O68" s="82" t="s">
        <v>329</v>
      </c>
      <c r="P68" s="83" t="s">
        <v>1270</v>
      </c>
      <c r="Q68" s="83"/>
      <c r="R68" s="3"/>
      <c r="S68" s="82" t="s">
        <v>329</v>
      </c>
      <c r="T68" s="83" t="s">
        <v>1270</v>
      </c>
      <c r="U68" s="83"/>
      <c r="V68" s="3"/>
      <c r="W68" s="82" t="s">
        <v>329</v>
      </c>
      <c r="X68" s="83" t="s">
        <v>1270</v>
      </c>
      <c r="Y68" s="83"/>
      <c r="Z68" s="3"/>
      <c r="AA68" s="82" t="s">
        <v>329</v>
      </c>
      <c r="AB68" s="83" t="s">
        <v>1270</v>
      </c>
      <c r="AC68" s="83"/>
      <c r="AD68" s="3"/>
    </row>
    <row r="69" spans="1:30" ht="13.5" thickBot="1">
      <c r="A69" s="117">
        <v>66</v>
      </c>
      <c r="B69" s="16" t="s">
        <v>1269</v>
      </c>
      <c r="C69" s="37"/>
      <c r="D69" s="37" t="str">
        <f>PROPER(units)</f>
        <v>Grams</v>
      </c>
      <c r="E69" s="37"/>
      <c r="F69" s="37"/>
      <c r="G69" s="37"/>
      <c r="H69" s="37"/>
      <c r="I69" s="36" t="s">
        <v>1474</v>
      </c>
      <c r="J69" s="3"/>
      <c r="K69" s="16" t="s">
        <v>1269</v>
      </c>
      <c r="L69" s="37" t="str">
        <f>PROPER(units)</f>
        <v>Grams</v>
      </c>
      <c r="M69" s="36" t="s">
        <v>1474</v>
      </c>
      <c r="N69" s="3"/>
      <c r="O69" s="16" t="s">
        <v>1269</v>
      </c>
      <c r="P69" s="37" t="str">
        <f>PROPER(units)</f>
        <v>Grams</v>
      </c>
      <c r="Q69" s="36" t="s">
        <v>1474</v>
      </c>
      <c r="R69" s="3"/>
      <c r="S69" s="16" t="s">
        <v>1269</v>
      </c>
      <c r="T69" s="37" t="str">
        <f>PROPER(units)</f>
        <v>Grams</v>
      </c>
      <c r="U69" s="36" t="s">
        <v>1474</v>
      </c>
      <c r="V69" s="3"/>
      <c r="W69" s="16" t="s">
        <v>1269</v>
      </c>
      <c r="X69" s="37" t="str">
        <f>PROPER(units)</f>
        <v>Grams</v>
      </c>
      <c r="Y69" s="36" t="s">
        <v>1474</v>
      </c>
      <c r="Z69" s="3"/>
      <c r="AA69" s="16" t="s">
        <v>1269</v>
      </c>
      <c r="AB69" s="37" t="str">
        <f>PROPER(units)</f>
        <v>Grams</v>
      </c>
      <c r="AC69" s="36" t="s">
        <v>1474</v>
      </c>
      <c r="AD69" s="3"/>
    </row>
    <row r="70" spans="1:30">
      <c r="A70" s="117">
        <v>67</v>
      </c>
      <c r="B70" s="45" t="str">
        <f t="shared" ref="B70:B76" ca="1" si="78">INDEX(INDIRECT(Body.db),A70,1)</f>
        <v>* MILK, SKIM</v>
      </c>
      <c r="C70" s="104">
        <f t="shared" ref="C70:C76" ca="1" si="79">IF(B70&gt;0,IF(G70-E70&gt;E70-H70,H70,G70),)</f>
        <v>336.875</v>
      </c>
      <c r="D70" s="48">
        <f t="shared" ref="D70:D76" ca="1" si="80">INDEX(INDIRECT(VLOOKUP(Body.type,Body_type,5,FALSE)),A70,2)</f>
        <v>306.25</v>
      </c>
      <c r="E70" s="104">
        <f t="shared" ref="E70:E76" ca="1" si="81">IF(B70&gt;0,D70*$J$4,)</f>
        <v>343.39371214642273</v>
      </c>
      <c r="F70" s="104">
        <f t="shared" ref="F70:F76" ca="1" si="82">IF(B70&gt;0,VLOOKUP(B70,Food_Database,9,FALSE),)</f>
        <v>30.625</v>
      </c>
      <c r="G70" s="104">
        <f t="shared" ref="G70:G76" ca="1" si="83">IF(B70&gt;0,CEILING(E70,F70),)</f>
        <v>367.5</v>
      </c>
      <c r="H70" s="104">
        <f t="shared" ref="H70:H76" ca="1" si="84">IF(B70&gt;0,FLOOR(E70,F70),)</f>
        <v>336.875</v>
      </c>
      <c r="I70" s="41">
        <f t="shared" ref="I70:I76" ca="1" si="85">IF(B70&gt;0,VLOOKUP(B70,Food_Database,2,FALSE)*C70/convert,)</f>
        <v>114.53749999999999</v>
      </c>
      <c r="J70" s="3"/>
      <c r="K70" s="45" t="s">
        <v>179</v>
      </c>
      <c r="L70" s="194">
        <v>306.25</v>
      </c>
      <c r="M70" s="41">
        <f t="shared" ref="M70:M76" si="86">IF(K70&gt;0,VLOOKUP(K70,Food_Database,2,FALSE)*L70/convert,)</f>
        <v>104.125</v>
      </c>
      <c r="N70" s="3"/>
      <c r="O70" s="45" t="s">
        <v>179</v>
      </c>
      <c r="P70" s="51">
        <v>306.25</v>
      </c>
      <c r="Q70" s="41">
        <f t="shared" ref="Q70:Q76" si="87">IF(O70&gt;0,VLOOKUP(O70,Food_Database,2,FALSE)*P70/convert,)</f>
        <v>104.125</v>
      </c>
      <c r="R70" s="3"/>
      <c r="S70" s="45" t="s">
        <v>179</v>
      </c>
      <c r="T70" s="194">
        <v>306.25</v>
      </c>
      <c r="U70" s="41">
        <f t="shared" ref="U70:U76" si="88">IF(S70&gt;0,VLOOKUP(S70,Food_Database,2,FALSE)*T70/convert,)</f>
        <v>104.125</v>
      </c>
      <c r="V70" s="3"/>
      <c r="W70" s="45" t="s">
        <v>179</v>
      </c>
      <c r="X70" s="194">
        <v>275.625</v>
      </c>
      <c r="Y70" s="41">
        <f t="shared" ref="Y70:Y76" si="89">IF(W70&gt;0,VLOOKUP(W70,Food_Database,2,FALSE)*X70/convert,)</f>
        <v>93.712500000000006</v>
      </c>
      <c r="Z70" s="3"/>
      <c r="AA70" s="45" t="s">
        <v>179</v>
      </c>
      <c r="AB70" s="194">
        <v>275.625</v>
      </c>
      <c r="AC70" s="41">
        <f t="shared" ref="AC70:AC76" si="90">IF(AA70&gt;0,VLOOKUP(AA70,Food_Database,2,FALSE)*AB70/convert,)</f>
        <v>93.712500000000006</v>
      </c>
      <c r="AD70" s="3"/>
    </row>
    <row r="71" spans="1:30">
      <c r="A71" s="117">
        <v>68</v>
      </c>
      <c r="B71" s="46" t="str">
        <f t="shared" ca="1" si="78"/>
        <v>* PROTEIN POWDER (SCOOP)</v>
      </c>
      <c r="C71" s="105">
        <f t="shared" ca="1" si="79"/>
        <v>67.5</v>
      </c>
      <c r="D71" s="49">
        <f t="shared" ca="1" si="80"/>
        <v>60</v>
      </c>
      <c r="E71" s="105">
        <f t="shared" ca="1" si="81"/>
        <v>67.277135440931801</v>
      </c>
      <c r="F71" s="105">
        <f t="shared" ca="1" si="82"/>
        <v>7.5</v>
      </c>
      <c r="G71" s="105">
        <f t="shared" ca="1" si="83"/>
        <v>67.5</v>
      </c>
      <c r="H71" s="105">
        <f t="shared" ca="1" si="84"/>
        <v>60</v>
      </c>
      <c r="I71" s="41">
        <f t="shared" ca="1" si="85"/>
        <v>270</v>
      </c>
      <c r="J71" s="3"/>
      <c r="K71" s="46" t="s">
        <v>469</v>
      </c>
      <c r="L71" s="195">
        <v>60</v>
      </c>
      <c r="M71" s="41">
        <f t="shared" si="86"/>
        <v>240</v>
      </c>
      <c r="N71" s="3"/>
      <c r="O71" s="46" t="s">
        <v>469</v>
      </c>
      <c r="P71" s="52">
        <v>60</v>
      </c>
      <c r="Q71" s="41">
        <f t="shared" si="87"/>
        <v>240</v>
      </c>
      <c r="R71" s="3"/>
      <c r="S71" s="46" t="s">
        <v>469</v>
      </c>
      <c r="T71" s="195">
        <v>60</v>
      </c>
      <c r="U71" s="41">
        <f t="shared" si="88"/>
        <v>240</v>
      </c>
      <c r="V71" s="3"/>
      <c r="W71" s="46" t="s">
        <v>469</v>
      </c>
      <c r="X71" s="195">
        <v>52.5</v>
      </c>
      <c r="Y71" s="41">
        <f t="shared" si="89"/>
        <v>210</v>
      </c>
      <c r="Z71" s="3"/>
      <c r="AA71" s="46" t="s">
        <v>469</v>
      </c>
      <c r="AB71" s="195">
        <v>60</v>
      </c>
      <c r="AC71" s="41">
        <f t="shared" si="90"/>
        <v>240</v>
      </c>
      <c r="AD71" s="3"/>
    </row>
    <row r="72" spans="1:30">
      <c r="A72" s="117">
        <v>69</v>
      </c>
      <c r="B72" s="46" t="str">
        <f t="shared" ca="1" si="78"/>
        <v>BANANAS,RAW</v>
      </c>
      <c r="C72" s="105">
        <f t="shared" ca="1" si="79"/>
        <v>177</v>
      </c>
      <c r="D72" s="49">
        <f t="shared" ca="1" si="80"/>
        <v>147.5</v>
      </c>
      <c r="E72" s="105">
        <f t="shared" ca="1" si="81"/>
        <v>165.38962462562401</v>
      </c>
      <c r="F72" s="105">
        <f t="shared" ca="1" si="82"/>
        <v>29.5</v>
      </c>
      <c r="G72" s="105">
        <f t="shared" ca="1" si="83"/>
        <v>177</v>
      </c>
      <c r="H72" s="105">
        <f t="shared" ca="1" si="84"/>
        <v>147.5</v>
      </c>
      <c r="I72" s="41">
        <f t="shared" ca="1" si="85"/>
        <v>157.53</v>
      </c>
      <c r="J72" s="3"/>
      <c r="K72" s="46" t="s">
        <v>170</v>
      </c>
      <c r="L72" s="195">
        <v>147.5</v>
      </c>
      <c r="M72" s="41">
        <f t="shared" si="86"/>
        <v>131.27500000000001</v>
      </c>
      <c r="N72" s="3"/>
      <c r="O72" s="46" t="s">
        <v>170</v>
      </c>
      <c r="P72" s="52">
        <v>147.5</v>
      </c>
      <c r="Q72" s="41">
        <f t="shared" si="87"/>
        <v>131.27500000000001</v>
      </c>
      <c r="R72" s="3"/>
      <c r="S72" s="46" t="s">
        <v>170</v>
      </c>
      <c r="T72" s="195">
        <v>147.5</v>
      </c>
      <c r="U72" s="41">
        <f t="shared" si="88"/>
        <v>131.27500000000001</v>
      </c>
      <c r="V72" s="3"/>
      <c r="W72" s="46" t="s">
        <v>170</v>
      </c>
      <c r="X72" s="195">
        <v>147.5</v>
      </c>
      <c r="Y72" s="41">
        <f t="shared" si="89"/>
        <v>131.27500000000001</v>
      </c>
      <c r="Z72" s="3"/>
      <c r="AA72" s="46" t="s">
        <v>170</v>
      </c>
      <c r="AB72" s="195">
        <v>147.5</v>
      </c>
      <c r="AC72" s="41">
        <f t="shared" si="90"/>
        <v>131.27500000000001</v>
      </c>
      <c r="AD72" s="3"/>
    </row>
    <row r="73" spans="1:30">
      <c r="A73" s="117">
        <v>70</v>
      </c>
      <c r="B73" s="46" t="str">
        <f t="shared" ca="1" si="78"/>
        <v>BLUEBERRIES,RAW</v>
      </c>
      <c r="C73" s="105">
        <f t="shared" ca="1" si="79"/>
        <v>202.125</v>
      </c>
      <c r="D73" s="49">
        <f t="shared" ca="1" si="80"/>
        <v>183.75</v>
      </c>
      <c r="E73" s="105">
        <f t="shared" ca="1" si="81"/>
        <v>206.03622728785362</v>
      </c>
      <c r="F73" s="105">
        <f t="shared" ca="1" si="82"/>
        <v>18.375</v>
      </c>
      <c r="G73" s="105">
        <f t="shared" ca="1" si="83"/>
        <v>220.5</v>
      </c>
      <c r="H73" s="105">
        <f t="shared" ca="1" si="84"/>
        <v>202.125</v>
      </c>
      <c r="I73" s="41">
        <f t="shared" ca="1" si="85"/>
        <v>115.21125000000001</v>
      </c>
      <c r="J73" s="3"/>
      <c r="K73" s="46" t="s">
        <v>171</v>
      </c>
      <c r="L73" s="195">
        <v>183.75</v>
      </c>
      <c r="M73" s="41">
        <f t="shared" si="86"/>
        <v>104.7375</v>
      </c>
      <c r="N73" s="3"/>
      <c r="O73" s="46" t="s">
        <v>171</v>
      </c>
      <c r="P73" s="52">
        <v>183.75</v>
      </c>
      <c r="Q73" s="41">
        <f t="shared" si="87"/>
        <v>104.7375</v>
      </c>
      <c r="R73" s="3"/>
      <c r="S73" s="46" t="s">
        <v>171</v>
      </c>
      <c r="T73" s="195">
        <v>183.75</v>
      </c>
      <c r="U73" s="41">
        <f t="shared" si="88"/>
        <v>104.7375</v>
      </c>
      <c r="V73" s="3"/>
      <c r="W73" s="46" t="s">
        <v>171</v>
      </c>
      <c r="X73" s="195">
        <v>165.375</v>
      </c>
      <c r="Y73" s="41">
        <f t="shared" si="89"/>
        <v>94.263750000000002</v>
      </c>
      <c r="Z73" s="3"/>
      <c r="AA73" s="46" t="s">
        <v>171</v>
      </c>
      <c r="AB73" s="195">
        <v>165.375</v>
      </c>
      <c r="AC73" s="41">
        <f t="shared" si="90"/>
        <v>94.263750000000002</v>
      </c>
      <c r="AD73" s="3"/>
    </row>
    <row r="74" spans="1:30">
      <c r="A74" s="117">
        <v>71</v>
      </c>
      <c r="B74" s="46" t="str">
        <f t="shared" ca="1" si="78"/>
        <v>SPORTS DRINK, (ie. GATORADE)</v>
      </c>
      <c r="C74" s="105">
        <f t="shared" ca="1" si="79"/>
        <v>335.5</v>
      </c>
      <c r="D74" s="49">
        <f t="shared" ca="1" si="80"/>
        <v>305</v>
      </c>
      <c r="E74" s="105">
        <f t="shared" ca="1" si="81"/>
        <v>341.99210515806993</v>
      </c>
      <c r="F74" s="105">
        <f t="shared" ca="1" si="82"/>
        <v>30.5</v>
      </c>
      <c r="G74" s="105">
        <f t="shared" ca="1" si="83"/>
        <v>366</v>
      </c>
      <c r="H74" s="105">
        <f t="shared" ca="1" si="84"/>
        <v>335.5</v>
      </c>
      <c r="I74" s="41">
        <f t="shared" ca="1" si="85"/>
        <v>90.584999999999994</v>
      </c>
      <c r="J74" s="3"/>
      <c r="K74" s="46" t="s">
        <v>792</v>
      </c>
      <c r="L74" s="195">
        <v>305</v>
      </c>
      <c r="M74" s="41">
        <f t="shared" si="86"/>
        <v>82.35</v>
      </c>
      <c r="N74" s="3"/>
      <c r="O74" s="46" t="s">
        <v>792</v>
      </c>
      <c r="P74" s="195">
        <v>244</v>
      </c>
      <c r="Q74" s="41">
        <f t="shared" si="87"/>
        <v>65.88</v>
      </c>
      <c r="R74" s="3"/>
      <c r="S74" s="46" t="s">
        <v>792</v>
      </c>
      <c r="T74" s="195">
        <v>244</v>
      </c>
      <c r="U74" s="41">
        <f t="shared" si="88"/>
        <v>65.88</v>
      </c>
      <c r="V74" s="3"/>
      <c r="W74" s="46" t="s">
        <v>792</v>
      </c>
      <c r="X74" s="195">
        <v>274.5</v>
      </c>
      <c r="Y74" s="41">
        <f t="shared" si="89"/>
        <v>74.114999999999995</v>
      </c>
      <c r="Z74" s="3"/>
      <c r="AA74" s="46" t="s">
        <v>236</v>
      </c>
      <c r="AB74" s="195">
        <v>274.5</v>
      </c>
      <c r="AC74" s="41">
        <f t="shared" si="90"/>
        <v>0</v>
      </c>
      <c r="AD74" s="3"/>
    </row>
    <row r="75" spans="1:30">
      <c r="A75" s="117">
        <v>72</v>
      </c>
      <c r="B75" s="46" t="str">
        <f t="shared" ca="1" si="78"/>
        <v>* ALMONDS</v>
      </c>
      <c r="C75" s="105">
        <f t="shared" ca="1" si="79"/>
        <v>23.75</v>
      </c>
      <c r="D75" s="49">
        <f t="shared" ca="1" si="80"/>
        <v>23.75</v>
      </c>
      <c r="E75" s="105">
        <f t="shared" ca="1" si="81"/>
        <v>26.630532778702168</v>
      </c>
      <c r="F75" s="105">
        <f t="shared" ca="1" si="82"/>
        <v>11.875</v>
      </c>
      <c r="G75" s="105">
        <f t="shared" ca="1" si="83"/>
        <v>35.625</v>
      </c>
      <c r="H75" s="105">
        <f t="shared" ca="1" si="84"/>
        <v>23.75</v>
      </c>
      <c r="I75" s="41">
        <f t="shared" ca="1" si="85"/>
        <v>136.5625</v>
      </c>
      <c r="J75" s="3"/>
      <c r="K75" s="46" t="s">
        <v>250</v>
      </c>
      <c r="L75" s="195">
        <v>23.75</v>
      </c>
      <c r="M75" s="41">
        <f t="shared" si="86"/>
        <v>136.5625</v>
      </c>
      <c r="N75" s="3"/>
      <c r="O75" s="46" t="s">
        <v>250</v>
      </c>
      <c r="P75" s="195">
        <v>23.75</v>
      </c>
      <c r="Q75" s="41">
        <f t="shared" si="87"/>
        <v>136.5625</v>
      </c>
      <c r="R75" s="3"/>
      <c r="S75" s="46" t="s">
        <v>250</v>
      </c>
      <c r="T75" s="195">
        <v>30</v>
      </c>
      <c r="U75" s="41">
        <f t="shared" si="88"/>
        <v>172.5</v>
      </c>
      <c r="V75" s="3"/>
      <c r="W75" s="46" t="s">
        <v>250</v>
      </c>
      <c r="X75" s="195">
        <v>30</v>
      </c>
      <c r="Y75" s="41">
        <f t="shared" si="89"/>
        <v>172.5</v>
      </c>
      <c r="Z75" s="3"/>
      <c r="AA75" s="46" t="s">
        <v>250</v>
      </c>
      <c r="AB75" s="195">
        <v>40</v>
      </c>
      <c r="AC75" s="41">
        <f t="shared" si="90"/>
        <v>230</v>
      </c>
      <c r="AD75" s="3"/>
    </row>
    <row r="76" spans="1:30" ht="13.5" thickBot="1">
      <c r="A76" s="117">
        <v>73</v>
      </c>
      <c r="B76" s="47">
        <f t="shared" ca="1" si="78"/>
        <v>0</v>
      </c>
      <c r="C76" s="106">
        <f t="shared" ca="1" si="79"/>
        <v>0</v>
      </c>
      <c r="D76" s="50">
        <f t="shared" ca="1" si="80"/>
        <v>0</v>
      </c>
      <c r="E76" s="106">
        <f t="shared" ca="1" si="81"/>
        <v>0</v>
      </c>
      <c r="F76" s="106">
        <f t="shared" ca="1" si="82"/>
        <v>0</v>
      </c>
      <c r="G76" s="106">
        <f t="shared" ca="1" si="83"/>
        <v>0</v>
      </c>
      <c r="H76" s="106">
        <f t="shared" ca="1" si="84"/>
        <v>0</v>
      </c>
      <c r="I76" s="44">
        <f t="shared" ca="1" si="85"/>
        <v>0</v>
      </c>
      <c r="J76" s="3"/>
      <c r="K76" s="47"/>
      <c r="L76" s="50"/>
      <c r="M76" s="44">
        <f t="shared" si="86"/>
        <v>0</v>
      </c>
      <c r="N76" s="3"/>
      <c r="O76" s="47"/>
      <c r="P76" s="50"/>
      <c r="Q76" s="44">
        <f t="shared" si="87"/>
        <v>0</v>
      </c>
      <c r="R76" s="3"/>
      <c r="S76" s="47"/>
      <c r="T76" s="50"/>
      <c r="U76" s="44">
        <f t="shared" si="88"/>
        <v>0</v>
      </c>
      <c r="V76" s="3"/>
      <c r="W76" s="47"/>
      <c r="X76" s="50"/>
      <c r="Y76" s="44">
        <f t="shared" si="89"/>
        <v>0</v>
      </c>
      <c r="Z76" s="3"/>
      <c r="AA76" s="47"/>
      <c r="AB76" s="50"/>
      <c r="AC76" s="44">
        <f t="shared" si="90"/>
        <v>0</v>
      </c>
      <c r="AD76" s="3"/>
    </row>
    <row r="77" spans="1:30">
      <c r="A77" s="3"/>
      <c r="B77" s="77" t="s">
        <v>268</v>
      </c>
      <c r="C77" s="3"/>
      <c r="D77" s="3"/>
      <c r="E77" s="3"/>
      <c r="F77" s="3"/>
      <c r="G77" s="3"/>
      <c r="H77" s="3"/>
      <c r="I77" s="3"/>
      <c r="J77" s="3"/>
      <c r="K77" s="77" t="s">
        <v>268</v>
      </c>
      <c r="L77" s="3"/>
      <c r="M77" s="3"/>
      <c r="N77" s="3"/>
      <c r="O77" s="77" t="s">
        <v>268</v>
      </c>
      <c r="P77" s="3"/>
      <c r="Q77" s="3"/>
      <c r="R77" s="3"/>
      <c r="S77" s="77" t="s">
        <v>268</v>
      </c>
      <c r="T77" s="3"/>
      <c r="U77" s="3"/>
      <c r="V77" s="3"/>
      <c r="W77" s="77" t="s">
        <v>268</v>
      </c>
      <c r="X77" s="3"/>
      <c r="Y77" s="3"/>
      <c r="Z77" s="3"/>
      <c r="AA77" s="77" t="s">
        <v>268</v>
      </c>
      <c r="AB77" s="3"/>
      <c r="AC77" s="3"/>
      <c r="AD77" s="3"/>
    </row>
  </sheetData>
  <phoneticPr fontId="2" type="noConversion"/>
  <dataValidations count="1">
    <dataValidation type="list" allowBlank="1" showInputMessage="1" showErrorMessage="1" sqref="W37:W43 W4:W10 S4:S10 O4:O10 W59:W65 K59:K65 O59:O65 S59:S65 K15:K21 W15:W21 AA59:AA65 S26:S32 AA48:AA54 K4:K10 K26:K32 O70:O76 W70:W76 S70:S76 S37:S43 AA15:AA21 O15:O21 AA4:AA10 AA70:AA76 O26:O32 K37:K43 W48:W54 S48:S54 O48:O54 AA37:AA43 K48:K54 W26:W32 S15:S21 O37:O43 K70:K76 AA26:AA32" xr:uid="{00000000-0002-0000-0200-000000000000}">
      <formula1>OFFSET(INDIRECT(Foodgroup_db),,,,1)</formula1>
    </dataValidation>
  </dataValidations>
  <pageMargins left="0.75" right="0.75" top="1" bottom="1" header="0.5" footer="0.5"/>
  <pageSetup orientation="portrait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AD77"/>
  <sheetViews>
    <sheetView showZeros="0" workbookViewId="0">
      <selection activeCell="C15" sqref="C15:D15"/>
    </sheetView>
  </sheetViews>
  <sheetFormatPr defaultRowHeight="12.75"/>
  <cols>
    <col min="1" max="1" width="3.28515625" customWidth="1"/>
    <col min="2" max="2" width="26.42578125" bestFit="1" customWidth="1"/>
    <col min="5" max="5" width="8.28515625" customWidth="1"/>
    <col min="10" max="10" width="7.42578125" customWidth="1"/>
    <col min="11" max="11" width="26.42578125" bestFit="1" customWidth="1"/>
    <col min="15" max="15" width="26.42578125" bestFit="1" customWidth="1"/>
    <col min="19" max="19" width="26.42578125" bestFit="1" customWidth="1"/>
    <col min="23" max="23" width="26.42578125" bestFit="1" customWidth="1"/>
    <col min="27" max="27" width="26.42578125" bestFit="1" customWidth="1"/>
  </cols>
  <sheetData>
    <row r="1" spans="1:30" ht="14.25" thickTop="1" thickBot="1">
      <c r="A1" s="116"/>
      <c r="B1" s="114" t="str">
        <f>Body.type&amp;" - Plan 3"</f>
        <v>Ectomorph - Plan 3</v>
      </c>
      <c r="C1" s="79"/>
      <c r="D1" s="79" t="s">
        <v>1271</v>
      </c>
      <c r="E1" s="79"/>
      <c r="F1" s="79"/>
      <c r="G1" s="79"/>
      <c r="H1" s="79"/>
      <c r="I1" s="81">
        <f ca="1">SUM(I4:I10)</f>
        <v>751.39</v>
      </c>
      <c r="J1" s="200">
        <f ca="1">IF(Meal.post&gt;0,ROUND(SUMIF(D1:D76,"Totals",I1:I76)-OFFSET(INDIRECT("Meal"&amp;Meal.post&amp;".1"),-3,7,1,1),),ROUND(SUMIF(D1:D65,"Totals",I1:I65),))</f>
        <v>3455</v>
      </c>
      <c r="K1" s="114" t="s">
        <v>499</v>
      </c>
      <c r="L1" s="79" t="s">
        <v>1271</v>
      </c>
      <c r="M1" s="81">
        <f>SUM(M4:M10)</f>
        <v>827.28</v>
      </c>
      <c r="N1" s="200">
        <f ca="1">IF(Meal.post&gt;0,ROUND(SUMIF(L1:L76,"Totals",M1:M76)-OFFSET(INDIRECT("Meal"&amp;Meal.post&amp;".1"),-3,COLUMN(K:K),1,1),),ROUND(SUMIF(L1:L65,"Totals",M1:M65),))</f>
        <v>3612</v>
      </c>
      <c r="O1" s="114" t="s">
        <v>500</v>
      </c>
      <c r="P1" s="79" t="s">
        <v>1271</v>
      </c>
      <c r="Q1" s="81">
        <f>SUM(Q4:Q10)</f>
        <v>642.28</v>
      </c>
      <c r="R1" s="200">
        <f ca="1">IF(Meal.post&gt;0,ROUND(SUMIF(P1:P76,"Totals",Q1:Q76)-OFFSET(INDIRECT("Meal"&amp;Meal.post&amp;".1"),-3,COLUMN(O:O),1,1),),ROUND(SUMIF(P1:P65,"Totals",Q1:Q65),))</f>
        <v>3437</v>
      </c>
      <c r="S1" s="114" t="s">
        <v>501</v>
      </c>
      <c r="T1" s="79" t="s">
        <v>1271</v>
      </c>
      <c r="U1" s="81">
        <f>SUM(U4:U10)</f>
        <v>662.36000000000013</v>
      </c>
      <c r="V1" s="200">
        <f ca="1">IF(Meal.post&gt;0,ROUND(SUMIF(T1:T76,"Totals",U1:U76)-OFFSET(INDIRECT("Meal"&amp;Meal.post&amp;".1"),-3,COLUMN(S:S),1,1),),ROUND(SUMIF(T1:T65,"Totals",U1:U65),))</f>
        <v>3429</v>
      </c>
      <c r="W1" s="114" t="s">
        <v>502</v>
      </c>
      <c r="X1" s="79" t="s">
        <v>1271</v>
      </c>
      <c r="Y1" s="81">
        <f>SUM(Y4:Y10)</f>
        <v>715.48</v>
      </c>
      <c r="Z1" s="200">
        <f ca="1">IF(Meal.post&gt;0,ROUND(SUMIF(X1:X76,"Totals",Y1:Y76)-OFFSET(INDIRECT("Meal"&amp;Meal.post&amp;".1"),-3,COLUMN(W:W),1,1),),ROUND(SUMIF(X1:X65,"Totals",Y1:Y65),))</f>
        <v>3591</v>
      </c>
      <c r="AA1" s="114" t="s">
        <v>123</v>
      </c>
      <c r="AB1" s="79" t="s">
        <v>1271</v>
      </c>
      <c r="AC1" s="81">
        <f>SUM(AC4:AC10)</f>
        <v>715.48</v>
      </c>
      <c r="AD1" s="200">
        <f ca="1">IF(Meal.post&gt;0,ROUND(SUMIF(AB1:AB76,"Totals",AC1:AC76)-OFFSET(INDIRECT("Meal"&amp;Meal.post&amp;".1"),-3,COLUMN(AA:AA),1,1),),ROUND(SUMIF(AB1:AB65,"Totals",AC1:AC65),))</f>
        <v>3380</v>
      </c>
    </row>
    <row r="2" spans="1:30" ht="13.5" thickBot="1">
      <c r="A2" s="38"/>
      <c r="B2" s="82" t="s">
        <v>1482</v>
      </c>
      <c r="C2" s="83"/>
      <c r="D2" s="83" t="s">
        <v>1270</v>
      </c>
      <c r="E2" s="83"/>
      <c r="F2" s="83"/>
      <c r="G2" s="83"/>
      <c r="H2" s="83"/>
      <c r="I2" s="83"/>
      <c r="J2" s="133">
        <f ca="1">OFFSET(INDIRECT(VLOOKUP(Body.type,Body_type,5,FALSE)),-3,3,1,1)</f>
        <v>3612</v>
      </c>
      <c r="K2" s="82" t="s">
        <v>1482</v>
      </c>
      <c r="L2" s="83" t="s">
        <v>1270</v>
      </c>
      <c r="M2" s="83"/>
      <c r="N2" s="38"/>
      <c r="O2" s="82" t="s">
        <v>1482</v>
      </c>
      <c r="P2" s="83" t="s">
        <v>1270</v>
      </c>
      <c r="Q2" s="83"/>
      <c r="R2" s="38"/>
      <c r="S2" s="82" t="s">
        <v>1482</v>
      </c>
      <c r="T2" s="83" t="s">
        <v>1270</v>
      </c>
      <c r="U2" s="83"/>
      <c r="V2" s="38"/>
      <c r="W2" s="82" t="s">
        <v>1482</v>
      </c>
      <c r="X2" s="83" t="s">
        <v>1270</v>
      </c>
      <c r="Y2" s="83"/>
      <c r="Z2" s="38"/>
      <c r="AA2" s="82" t="s">
        <v>1482</v>
      </c>
      <c r="AB2" s="83" t="s">
        <v>1270</v>
      </c>
      <c r="AC2" s="83"/>
      <c r="AD2" s="38"/>
    </row>
    <row r="3" spans="1:30" ht="13.5" thickBot="1">
      <c r="A3" s="38"/>
      <c r="B3" s="16" t="s">
        <v>1269</v>
      </c>
      <c r="C3" s="37" t="str">
        <f>PROPER(units)</f>
        <v>Grams</v>
      </c>
      <c r="D3" s="37" t="str">
        <f>PROPER(units)</f>
        <v>Grams</v>
      </c>
      <c r="E3" s="37" t="s">
        <v>1275</v>
      </c>
      <c r="F3" s="37" t="s">
        <v>473</v>
      </c>
      <c r="G3" s="37" t="s">
        <v>474</v>
      </c>
      <c r="H3" s="37" t="s">
        <v>475</v>
      </c>
      <c r="I3" s="36" t="s">
        <v>1474</v>
      </c>
      <c r="J3" s="132">
        <f>Target</f>
        <v>3369.4632000000006</v>
      </c>
      <c r="K3" s="16" t="s">
        <v>1269</v>
      </c>
      <c r="L3" s="37" t="str">
        <f>PROPER(units)</f>
        <v>Grams</v>
      </c>
      <c r="M3" s="36" t="s">
        <v>1474</v>
      </c>
      <c r="N3" s="38"/>
      <c r="O3" s="16" t="s">
        <v>1269</v>
      </c>
      <c r="P3" s="37" t="str">
        <f>PROPER(units)</f>
        <v>Grams</v>
      </c>
      <c r="Q3" s="36" t="s">
        <v>1474</v>
      </c>
      <c r="R3" s="38"/>
      <c r="S3" s="16" t="s">
        <v>1269</v>
      </c>
      <c r="T3" s="37" t="str">
        <f>PROPER(units)</f>
        <v>Grams</v>
      </c>
      <c r="U3" s="36" t="s">
        <v>1474</v>
      </c>
      <c r="V3" s="38"/>
      <c r="W3" s="16" t="s">
        <v>1269</v>
      </c>
      <c r="X3" s="37" t="str">
        <f>PROPER(units)</f>
        <v>Grams</v>
      </c>
      <c r="Y3" s="36" t="s">
        <v>1474</v>
      </c>
      <c r="Z3" s="38"/>
      <c r="AA3" s="16" t="s">
        <v>1269</v>
      </c>
      <c r="AB3" s="37" t="str">
        <f>PROPER(units)</f>
        <v>Grams</v>
      </c>
      <c r="AC3" s="36" t="s">
        <v>1474</v>
      </c>
      <c r="AD3" s="38"/>
    </row>
    <row r="4" spans="1:30">
      <c r="A4" s="117">
        <v>1</v>
      </c>
      <c r="B4" s="45" t="str">
        <f t="shared" ref="B4:B10" ca="1" si="0">INDEX(INDIRECT(Body.db),A4,1)</f>
        <v>* SWEET POTATO,RAW</v>
      </c>
      <c r="C4" s="104">
        <f t="shared" ref="C4:C10" ca="1" si="1">IF(B4&gt;0,IF(G4-E4&gt;E4-H4,H4,G4),)</f>
        <v>227.5</v>
      </c>
      <c r="D4" s="48">
        <f t="shared" ref="D4:D10" ca="1" si="2">INDEX(INDIRECT(VLOOKUP(Body.type,Body_type,5,FALSE)),A4,2)</f>
        <v>260</v>
      </c>
      <c r="E4" s="104">
        <f t="shared" ref="E4:E10" ca="1" si="3">IF(B4&gt;0,D4*$J$4,)</f>
        <v>242.54164784053162</v>
      </c>
      <c r="F4" s="104">
        <f t="shared" ref="F4:F10" ca="1" si="4">IF(B4&gt;0,VLOOKUP(B4,Food_Database,9,FALSE),)</f>
        <v>32.5</v>
      </c>
      <c r="G4" s="104">
        <f t="shared" ref="G4:G10" ca="1" si="5">IF(B4&gt;0,CEILING(E4,F4),)</f>
        <v>260</v>
      </c>
      <c r="H4" s="104">
        <f t="shared" ref="H4:H10" ca="1" si="6">IF(B4&gt;0,FLOOR(E4,F4),)</f>
        <v>227.5</v>
      </c>
      <c r="I4" s="41">
        <f t="shared" ref="I4:I10" ca="1" si="7">IF(B4&gt;0,VLOOKUP(B4,Food_Database,2,FALSE)*C4/convert,)</f>
        <v>195.65</v>
      </c>
      <c r="J4" s="134">
        <f ca="1">J3/J2</f>
        <v>0.93285249169435236</v>
      </c>
      <c r="K4" s="45" t="s">
        <v>248</v>
      </c>
      <c r="L4" s="194">
        <v>260</v>
      </c>
      <c r="M4" s="41">
        <f t="shared" ref="M4:M10" si="8">IF(K4&gt;0,VLOOKUP(K4,Food_Database,2,FALSE)*L4/convert,)</f>
        <v>223.6</v>
      </c>
      <c r="N4" s="38"/>
      <c r="O4" s="45" t="s">
        <v>248</v>
      </c>
      <c r="P4" s="194">
        <v>130</v>
      </c>
      <c r="Q4" s="41">
        <f t="shared" ref="Q4:Q10" si="9">IF(O4&gt;0,VLOOKUP(O4,Food_Database,2,FALSE)*P4/convert,)</f>
        <v>111.8</v>
      </c>
      <c r="R4" s="38"/>
      <c r="S4" s="45" t="s">
        <v>248</v>
      </c>
      <c r="T4" s="194">
        <v>130</v>
      </c>
      <c r="U4" s="41">
        <f t="shared" ref="U4:U10" si="10">IF(S4&gt;0,VLOOKUP(S4,Food_Database,2,FALSE)*T4/convert,)</f>
        <v>111.8</v>
      </c>
      <c r="V4" s="38"/>
      <c r="W4" s="45" t="s">
        <v>248</v>
      </c>
      <c r="X4" s="194">
        <v>130</v>
      </c>
      <c r="Y4" s="41">
        <f t="shared" ref="Y4:Y10" si="11">IF(W4&gt;0,VLOOKUP(W4,Food_Database,2,FALSE)*X4/convert,)</f>
        <v>111.8</v>
      </c>
      <c r="Z4" s="38"/>
      <c r="AA4" s="45" t="s">
        <v>248</v>
      </c>
      <c r="AB4" s="194">
        <v>130</v>
      </c>
      <c r="AC4" s="41">
        <f t="shared" ref="AC4:AC10" si="12">IF(AA4&gt;0,VLOOKUP(AA4,Food_Database,2,FALSE)*AB4/convert,)</f>
        <v>111.8</v>
      </c>
      <c r="AD4" s="38"/>
    </row>
    <row r="5" spans="1:30">
      <c r="A5" s="117">
        <v>2</v>
      </c>
      <c r="B5" s="46" t="str">
        <f t="shared" ca="1" si="0"/>
        <v>* PROTEIN POWDER (SCOOP)</v>
      </c>
      <c r="C5" s="105">
        <f t="shared" ca="1" si="1"/>
        <v>15</v>
      </c>
      <c r="D5" s="49">
        <f t="shared" ca="1" si="2"/>
        <v>15</v>
      </c>
      <c r="E5" s="105">
        <f t="shared" ca="1" si="3"/>
        <v>13.992787375415286</v>
      </c>
      <c r="F5" s="105">
        <f t="shared" ca="1" si="4"/>
        <v>7.5</v>
      </c>
      <c r="G5" s="105">
        <f t="shared" ca="1" si="5"/>
        <v>15</v>
      </c>
      <c r="H5" s="105">
        <f t="shared" ca="1" si="6"/>
        <v>7.5</v>
      </c>
      <c r="I5" s="41">
        <f t="shared" ca="1" si="7"/>
        <v>60</v>
      </c>
      <c r="J5" s="118"/>
      <c r="K5" s="46" t="s">
        <v>469</v>
      </c>
      <c r="L5" s="195">
        <v>15</v>
      </c>
      <c r="M5" s="41">
        <f t="shared" si="8"/>
        <v>60</v>
      </c>
      <c r="N5" s="38"/>
      <c r="O5" s="46" t="s">
        <v>469</v>
      </c>
      <c r="P5" s="195">
        <v>30</v>
      </c>
      <c r="Q5" s="41">
        <f t="shared" si="9"/>
        <v>120</v>
      </c>
      <c r="R5" s="38"/>
      <c r="S5" s="46" t="s">
        <v>469</v>
      </c>
      <c r="T5" s="195">
        <v>15</v>
      </c>
      <c r="U5" s="41">
        <f t="shared" si="10"/>
        <v>60</v>
      </c>
      <c r="V5" s="38"/>
      <c r="W5" s="46" t="s">
        <v>469</v>
      </c>
      <c r="X5" s="195">
        <v>15</v>
      </c>
      <c r="Y5" s="41">
        <f t="shared" si="11"/>
        <v>60</v>
      </c>
      <c r="Z5" s="38"/>
      <c r="AA5" s="46" t="s">
        <v>469</v>
      </c>
      <c r="AB5" s="195">
        <v>15</v>
      </c>
      <c r="AC5" s="41">
        <f t="shared" si="12"/>
        <v>60</v>
      </c>
      <c r="AD5" s="38"/>
    </row>
    <row r="6" spans="1:30">
      <c r="A6" s="117">
        <v>3</v>
      </c>
      <c r="B6" s="46" t="str">
        <f t="shared" ca="1" si="0"/>
        <v>* EGG,WHOLE,RAW</v>
      </c>
      <c r="C6" s="105">
        <f t="shared" ca="1" si="1"/>
        <v>112</v>
      </c>
      <c r="D6" s="49">
        <f t="shared" ca="1" si="2"/>
        <v>112</v>
      </c>
      <c r="E6" s="105">
        <f t="shared" ca="1" si="3"/>
        <v>104.47947906976746</v>
      </c>
      <c r="F6" s="105">
        <f t="shared" ca="1" si="4"/>
        <v>56</v>
      </c>
      <c r="G6" s="105">
        <f t="shared" ca="1" si="5"/>
        <v>112</v>
      </c>
      <c r="H6" s="105">
        <f t="shared" ca="1" si="6"/>
        <v>56</v>
      </c>
      <c r="I6" s="41">
        <f t="shared" ca="1" si="7"/>
        <v>160.16</v>
      </c>
      <c r="J6" s="38"/>
      <c r="K6" s="46" t="s">
        <v>176</v>
      </c>
      <c r="L6" s="195">
        <v>112</v>
      </c>
      <c r="M6" s="41">
        <f t="shared" si="8"/>
        <v>160.16</v>
      </c>
      <c r="N6" s="38"/>
      <c r="O6" s="46" t="s">
        <v>176</v>
      </c>
      <c r="P6" s="195">
        <v>112</v>
      </c>
      <c r="Q6" s="41">
        <f t="shared" si="9"/>
        <v>160.16</v>
      </c>
      <c r="R6" s="38"/>
      <c r="S6" s="46" t="s">
        <v>176</v>
      </c>
      <c r="T6" s="195">
        <v>168</v>
      </c>
      <c r="U6" s="41">
        <f t="shared" si="10"/>
        <v>240.24</v>
      </c>
      <c r="V6" s="38"/>
      <c r="W6" s="46" t="s">
        <v>176</v>
      </c>
      <c r="X6" s="195">
        <v>112</v>
      </c>
      <c r="Y6" s="41">
        <f t="shared" si="11"/>
        <v>160.16</v>
      </c>
      <c r="Z6" s="38"/>
      <c r="AA6" s="46" t="s">
        <v>176</v>
      </c>
      <c r="AB6" s="195">
        <v>112</v>
      </c>
      <c r="AC6" s="41">
        <f t="shared" si="12"/>
        <v>160.16</v>
      </c>
      <c r="AD6" s="38"/>
    </row>
    <row r="7" spans="1:30">
      <c r="A7" s="117">
        <v>4</v>
      </c>
      <c r="B7" s="46" t="str">
        <f t="shared" ca="1" si="0"/>
        <v>* EGG,WHITE,RAW</v>
      </c>
      <c r="C7" s="105">
        <f t="shared" ca="1" si="1"/>
        <v>213.5</v>
      </c>
      <c r="D7" s="49">
        <f t="shared" ca="1" si="2"/>
        <v>244</v>
      </c>
      <c r="E7" s="105">
        <f t="shared" ca="1" si="3"/>
        <v>227.61600797342197</v>
      </c>
      <c r="F7" s="105">
        <f t="shared" ca="1" si="4"/>
        <v>30.5</v>
      </c>
      <c r="G7" s="105">
        <f t="shared" ca="1" si="5"/>
        <v>244</v>
      </c>
      <c r="H7" s="105">
        <f t="shared" ca="1" si="6"/>
        <v>213.5</v>
      </c>
      <c r="I7" s="41">
        <f t="shared" ca="1" si="7"/>
        <v>102.48</v>
      </c>
      <c r="J7" s="38"/>
      <c r="K7" s="46" t="s">
        <v>175</v>
      </c>
      <c r="L7" s="195">
        <v>244</v>
      </c>
      <c r="M7" s="41">
        <f t="shared" si="8"/>
        <v>117.12</v>
      </c>
      <c r="N7" s="38"/>
      <c r="O7" s="46" t="s">
        <v>175</v>
      </c>
      <c r="P7" s="195">
        <v>244</v>
      </c>
      <c r="Q7" s="41">
        <f t="shared" si="9"/>
        <v>117.12</v>
      </c>
      <c r="R7" s="38"/>
      <c r="S7" s="46" t="s">
        <v>175</v>
      </c>
      <c r="T7" s="195">
        <v>244</v>
      </c>
      <c r="U7" s="41">
        <f t="shared" si="10"/>
        <v>117.12</v>
      </c>
      <c r="V7" s="38"/>
      <c r="W7" s="46" t="s">
        <v>175</v>
      </c>
      <c r="X7" s="195">
        <v>244</v>
      </c>
      <c r="Y7" s="41">
        <f t="shared" si="11"/>
        <v>117.12</v>
      </c>
      <c r="Z7" s="38"/>
      <c r="AA7" s="46" t="s">
        <v>175</v>
      </c>
      <c r="AB7" s="195">
        <v>244</v>
      </c>
      <c r="AC7" s="41">
        <f t="shared" si="12"/>
        <v>117.12</v>
      </c>
      <c r="AD7" s="38"/>
    </row>
    <row r="8" spans="1:30">
      <c r="A8" s="117">
        <v>5</v>
      </c>
      <c r="B8" s="46" t="str">
        <f t="shared" ca="1" si="0"/>
        <v>* CEREALS MULTIGRAIN OATS,DRY</v>
      </c>
      <c r="C8" s="105">
        <f t="shared" ca="1" si="1"/>
        <v>70</v>
      </c>
      <c r="D8" s="49">
        <f t="shared" ca="1" si="2"/>
        <v>80</v>
      </c>
      <c r="E8" s="105">
        <f t="shared" ca="1" si="3"/>
        <v>74.628199335548189</v>
      </c>
      <c r="F8" s="105">
        <f t="shared" ca="1" si="4"/>
        <v>10</v>
      </c>
      <c r="G8" s="105">
        <f t="shared" ca="1" si="5"/>
        <v>80</v>
      </c>
      <c r="H8" s="105">
        <f t="shared" ca="1" si="6"/>
        <v>70</v>
      </c>
      <c r="I8" s="41">
        <f t="shared" ca="1" si="7"/>
        <v>233.1</v>
      </c>
      <c r="J8" s="3"/>
      <c r="K8" s="46" t="s">
        <v>653</v>
      </c>
      <c r="L8" s="195">
        <v>80</v>
      </c>
      <c r="M8" s="41">
        <f t="shared" si="8"/>
        <v>266.39999999999998</v>
      </c>
      <c r="N8" s="3"/>
      <c r="O8" s="46" t="s">
        <v>653</v>
      </c>
      <c r="P8" s="195">
        <v>40</v>
      </c>
      <c r="Q8" s="41">
        <f t="shared" si="9"/>
        <v>133.19999999999999</v>
      </c>
      <c r="R8" s="3"/>
      <c r="S8" s="46" t="s">
        <v>653</v>
      </c>
      <c r="T8" s="195">
        <v>40</v>
      </c>
      <c r="U8" s="41">
        <f t="shared" si="10"/>
        <v>133.19999999999999</v>
      </c>
      <c r="V8" s="3"/>
      <c r="W8" s="46" t="s">
        <v>653</v>
      </c>
      <c r="X8" s="195">
        <v>80</v>
      </c>
      <c r="Y8" s="41">
        <f t="shared" si="11"/>
        <v>266.39999999999998</v>
      </c>
      <c r="Z8" s="3"/>
      <c r="AA8" s="46" t="s">
        <v>653</v>
      </c>
      <c r="AB8" s="195">
        <v>80</v>
      </c>
      <c r="AC8" s="41">
        <f t="shared" si="12"/>
        <v>266.39999999999998</v>
      </c>
      <c r="AD8" s="3"/>
    </row>
    <row r="9" spans="1:30">
      <c r="A9" s="117">
        <v>6</v>
      </c>
      <c r="B9" s="46">
        <f t="shared" ca="1" si="0"/>
        <v>0</v>
      </c>
      <c r="C9" s="105">
        <f t="shared" ca="1" si="1"/>
        <v>0</v>
      </c>
      <c r="D9" s="49">
        <f t="shared" ca="1" si="2"/>
        <v>0</v>
      </c>
      <c r="E9" s="105">
        <f t="shared" ca="1" si="3"/>
        <v>0</v>
      </c>
      <c r="F9" s="105">
        <f t="shared" ca="1" si="4"/>
        <v>0</v>
      </c>
      <c r="G9" s="105">
        <f t="shared" ca="1" si="5"/>
        <v>0</v>
      </c>
      <c r="H9" s="105">
        <f t="shared" ca="1" si="6"/>
        <v>0</v>
      </c>
      <c r="I9" s="41">
        <f t="shared" ca="1" si="7"/>
        <v>0</v>
      </c>
      <c r="J9" s="4"/>
      <c r="K9" s="46"/>
      <c r="L9" s="49"/>
      <c r="M9" s="41">
        <f t="shared" si="8"/>
        <v>0</v>
      </c>
      <c r="N9" s="4"/>
      <c r="O9" s="46"/>
      <c r="P9" s="49"/>
      <c r="Q9" s="41">
        <f t="shared" si="9"/>
        <v>0</v>
      </c>
      <c r="R9" s="4"/>
      <c r="S9" s="46"/>
      <c r="T9" s="49"/>
      <c r="U9" s="41">
        <f t="shared" si="10"/>
        <v>0</v>
      </c>
      <c r="V9" s="4"/>
      <c r="W9" s="46"/>
      <c r="X9" s="49"/>
      <c r="Y9" s="41">
        <f t="shared" si="11"/>
        <v>0</v>
      </c>
      <c r="Z9" s="4"/>
      <c r="AA9" s="46"/>
      <c r="AB9" s="49"/>
      <c r="AC9" s="41">
        <f t="shared" si="12"/>
        <v>0</v>
      </c>
      <c r="AD9" s="4"/>
    </row>
    <row r="10" spans="1:30" ht="13.5" thickBot="1">
      <c r="A10" s="117">
        <v>7</v>
      </c>
      <c r="B10" s="47">
        <f t="shared" ca="1" si="0"/>
        <v>0</v>
      </c>
      <c r="C10" s="106">
        <f t="shared" ca="1" si="1"/>
        <v>0</v>
      </c>
      <c r="D10" s="50">
        <f t="shared" ca="1" si="2"/>
        <v>0</v>
      </c>
      <c r="E10" s="106">
        <f t="shared" ca="1" si="3"/>
        <v>0</v>
      </c>
      <c r="F10" s="106">
        <f t="shared" ca="1" si="4"/>
        <v>0</v>
      </c>
      <c r="G10" s="106">
        <f t="shared" ca="1" si="5"/>
        <v>0</v>
      </c>
      <c r="H10" s="106">
        <f t="shared" ca="1" si="6"/>
        <v>0</v>
      </c>
      <c r="I10" s="44">
        <f t="shared" ca="1" si="7"/>
        <v>0</v>
      </c>
      <c r="J10" s="3"/>
      <c r="K10" s="47"/>
      <c r="L10" s="50"/>
      <c r="M10" s="44">
        <f t="shared" si="8"/>
        <v>0</v>
      </c>
      <c r="N10" s="3"/>
      <c r="O10" s="47"/>
      <c r="P10" s="50"/>
      <c r="Q10" s="44">
        <f t="shared" si="9"/>
        <v>0</v>
      </c>
      <c r="R10" s="3"/>
      <c r="S10" s="47"/>
      <c r="T10" s="50"/>
      <c r="U10" s="44">
        <f t="shared" si="10"/>
        <v>0</v>
      </c>
      <c r="V10" s="3"/>
      <c r="W10" s="47"/>
      <c r="X10" s="50"/>
      <c r="Y10" s="44">
        <f t="shared" si="11"/>
        <v>0</v>
      </c>
      <c r="Z10" s="3"/>
      <c r="AA10" s="47"/>
      <c r="AB10" s="50"/>
      <c r="AC10" s="44">
        <f t="shared" si="12"/>
        <v>0</v>
      </c>
      <c r="AD10" s="3"/>
    </row>
    <row r="11" spans="1:30" ht="13.5" thickBot="1">
      <c r="A11" s="117">
        <v>8</v>
      </c>
      <c r="B11" s="77" t="s">
        <v>268</v>
      </c>
      <c r="C11" s="3"/>
      <c r="D11" s="3"/>
      <c r="E11" s="3"/>
      <c r="F11" s="3"/>
      <c r="G11" s="3"/>
      <c r="H11" s="3"/>
      <c r="I11" s="3"/>
      <c r="J11" s="3"/>
      <c r="K11" s="77" t="s">
        <v>268</v>
      </c>
      <c r="L11" s="3"/>
      <c r="M11" s="3"/>
      <c r="N11" s="3"/>
      <c r="O11" s="77" t="s">
        <v>268</v>
      </c>
      <c r="P11" s="3"/>
      <c r="Q11" s="3"/>
      <c r="R11" s="3"/>
      <c r="S11" s="77" t="s">
        <v>268</v>
      </c>
      <c r="T11" s="3"/>
      <c r="U11" s="3"/>
      <c r="V11" s="3"/>
      <c r="W11" s="77" t="s">
        <v>268</v>
      </c>
      <c r="X11" s="3"/>
      <c r="Y11" s="3"/>
      <c r="Z11" s="3"/>
      <c r="AA11" s="77" t="s">
        <v>268</v>
      </c>
      <c r="AB11" s="3"/>
      <c r="AC11" s="3"/>
      <c r="AD11" s="3"/>
    </row>
    <row r="12" spans="1:30" ht="14.25" thickTop="1" thickBot="1">
      <c r="A12" s="117">
        <v>9</v>
      </c>
      <c r="B12" s="78"/>
      <c r="C12" s="79"/>
      <c r="D12" s="79" t="s">
        <v>1271</v>
      </c>
      <c r="E12" s="79"/>
      <c r="F12" s="79"/>
      <c r="G12" s="79"/>
      <c r="H12" s="79"/>
      <c r="I12" s="81">
        <f ca="1">SUM(I15:I21)</f>
        <v>438.94749999999999</v>
      </c>
      <c r="J12" s="3"/>
      <c r="K12" s="78"/>
      <c r="L12" s="79" t="s">
        <v>1271</v>
      </c>
      <c r="M12" s="81">
        <f>SUM(M15:M21)</f>
        <v>456.14</v>
      </c>
      <c r="N12" s="3"/>
      <c r="O12" s="78"/>
      <c r="P12" s="79" t="s">
        <v>1271</v>
      </c>
      <c r="Q12" s="81">
        <f>SUM(Q15:Q21)</f>
        <v>458.83</v>
      </c>
      <c r="R12" s="3"/>
      <c r="S12" s="78"/>
      <c r="T12" s="79" t="s">
        <v>1271</v>
      </c>
      <c r="U12" s="81">
        <f>SUM(U15:U21)</f>
        <v>458.83</v>
      </c>
      <c r="V12" s="3"/>
      <c r="W12" s="78"/>
      <c r="X12" s="79" t="s">
        <v>1271</v>
      </c>
      <c r="Y12" s="81">
        <f>SUM(Y15:Y21)</f>
        <v>458.83</v>
      </c>
      <c r="Z12" s="3"/>
      <c r="AA12" s="78"/>
      <c r="AB12" s="79" t="s">
        <v>1271</v>
      </c>
      <c r="AC12" s="81">
        <f>SUM(AC15:AC21)</f>
        <v>458.83</v>
      </c>
      <c r="AD12" s="3"/>
    </row>
    <row r="13" spans="1:30" ht="13.5" thickBot="1">
      <c r="A13" s="117">
        <v>10</v>
      </c>
      <c r="B13" s="82" t="s">
        <v>200</v>
      </c>
      <c r="C13" s="83"/>
      <c r="D13" s="83" t="s">
        <v>1270</v>
      </c>
      <c r="E13" s="83"/>
      <c r="F13" s="83"/>
      <c r="G13" s="83"/>
      <c r="H13" s="83"/>
      <c r="I13" s="83"/>
      <c r="J13" s="3"/>
      <c r="K13" s="82" t="s">
        <v>1479</v>
      </c>
      <c r="L13" s="83" t="s">
        <v>1270</v>
      </c>
      <c r="M13" s="83"/>
      <c r="N13" s="3"/>
      <c r="O13" s="82" t="s">
        <v>1479</v>
      </c>
      <c r="P13" s="83" t="s">
        <v>1270</v>
      </c>
      <c r="Q13" s="83"/>
      <c r="R13" s="3"/>
      <c r="S13" s="82" t="s">
        <v>1479</v>
      </c>
      <c r="T13" s="83" t="s">
        <v>1270</v>
      </c>
      <c r="U13" s="83"/>
      <c r="V13" s="3"/>
      <c r="W13" s="82" t="s">
        <v>1479</v>
      </c>
      <c r="X13" s="83" t="s">
        <v>1270</v>
      </c>
      <c r="Y13" s="83"/>
      <c r="Z13" s="3"/>
      <c r="AA13" s="82" t="s">
        <v>1479</v>
      </c>
      <c r="AB13" s="83" t="s">
        <v>1270</v>
      </c>
      <c r="AC13" s="83"/>
      <c r="AD13" s="3"/>
    </row>
    <row r="14" spans="1:30" ht="13.5" thickBot="1">
      <c r="A14" s="117">
        <v>11</v>
      </c>
      <c r="B14" s="16" t="s">
        <v>1269</v>
      </c>
      <c r="C14" s="37"/>
      <c r="D14" s="37" t="str">
        <f>PROPER(units)</f>
        <v>Grams</v>
      </c>
      <c r="E14" s="37"/>
      <c r="F14" s="37"/>
      <c r="G14" s="37"/>
      <c r="H14" s="37"/>
      <c r="I14" s="36" t="s">
        <v>1474</v>
      </c>
      <c r="J14" s="3"/>
      <c r="K14" s="16" t="s">
        <v>1269</v>
      </c>
      <c r="L14" s="37" t="str">
        <f>PROPER(units)</f>
        <v>Grams</v>
      </c>
      <c r="M14" s="36" t="s">
        <v>1474</v>
      </c>
      <c r="N14" s="3"/>
      <c r="O14" s="16" t="s">
        <v>1269</v>
      </c>
      <c r="P14" s="37" t="str">
        <f>PROPER(units)</f>
        <v>Grams</v>
      </c>
      <c r="Q14" s="36" t="s">
        <v>1474</v>
      </c>
      <c r="R14" s="3"/>
      <c r="S14" s="16" t="s">
        <v>1269</v>
      </c>
      <c r="T14" s="37" t="str">
        <f>PROPER(units)</f>
        <v>Grams</v>
      </c>
      <c r="U14" s="36" t="s">
        <v>1474</v>
      </c>
      <c r="V14" s="3"/>
      <c r="W14" s="16" t="s">
        <v>1269</v>
      </c>
      <c r="X14" s="37" t="str">
        <f>PROPER(units)</f>
        <v>Grams</v>
      </c>
      <c r="Y14" s="36" t="s">
        <v>1474</v>
      </c>
      <c r="Z14" s="3"/>
      <c r="AA14" s="16" t="s">
        <v>1269</v>
      </c>
      <c r="AB14" s="37" t="str">
        <f>PROPER(units)</f>
        <v>Grams</v>
      </c>
      <c r="AC14" s="36" t="s">
        <v>1474</v>
      </c>
      <c r="AD14" s="3"/>
    </row>
    <row r="15" spans="1:30">
      <c r="A15" s="117">
        <v>12</v>
      </c>
      <c r="B15" s="45" t="str">
        <f t="shared" ref="B15:B21" ca="1" si="13">INDEX(INDIRECT(Body.db),A15,1)</f>
        <v>* CHICKEN BREAST,NO SKIN,RAW</v>
      </c>
      <c r="C15" s="104">
        <f t="shared" ref="C15:C21" ca="1" si="14">IF(B15&gt;0,IF(G15-E15&gt;E15-H15,H15,G15),)</f>
        <v>184.60000000000002</v>
      </c>
      <c r="D15" s="48">
        <f t="shared" ref="D15:D21" ca="1" si="15">INDEX(INDIRECT(VLOOKUP(Body.type,Body_type,5,FALSE)),A15,2)</f>
        <v>198</v>
      </c>
      <c r="E15" s="104">
        <f t="shared" ref="E15:E21" ca="1" si="16">IF(B15&gt;0,D15*$J$4,)</f>
        <v>184.70479335548177</v>
      </c>
      <c r="F15" s="104">
        <f t="shared" ref="F15:F21" ca="1" si="17">IF(B15&gt;0,VLOOKUP(B15,Food_Database,9,FALSE),)</f>
        <v>14.200000000000001</v>
      </c>
      <c r="G15" s="104">
        <f t="shared" ref="G15:G21" ca="1" si="18">IF(B15&gt;0,CEILING(E15,F15),)</f>
        <v>198.8</v>
      </c>
      <c r="H15" s="104">
        <f t="shared" ref="H15:H21" ca="1" si="19">IF(B15&gt;0,FLOOR(E15,F15),)</f>
        <v>184.60000000000002</v>
      </c>
      <c r="I15" s="41">
        <f t="shared" ref="I15:I21" ca="1" si="20">IF(B15&gt;0,VLOOKUP(B15,Food_Database,2,FALSE)*C15/convert,)</f>
        <v>203.06000000000003</v>
      </c>
      <c r="J15" s="3"/>
      <c r="K15" s="45" t="s">
        <v>407</v>
      </c>
      <c r="L15" s="194">
        <v>198</v>
      </c>
      <c r="M15" s="41">
        <f t="shared" ref="M15:M21" si="21">IF(K15&gt;0,VLOOKUP(K15,Food_Database,2,FALSE)*L15/convert,)</f>
        <v>217.8</v>
      </c>
      <c r="N15" s="3"/>
      <c r="O15" s="45" t="s">
        <v>407</v>
      </c>
      <c r="P15" s="194">
        <v>198.8</v>
      </c>
      <c r="Q15" s="41">
        <f t="shared" ref="Q15:Q21" si="22">IF(O15&gt;0,VLOOKUP(O15,Food_Database,2,FALSE)*P15/convert,)</f>
        <v>218.68</v>
      </c>
      <c r="R15" s="3"/>
      <c r="S15" s="45" t="s">
        <v>407</v>
      </c>
      <c r="T15" s="194">
        <v>198.8</v>
      </c>
      <c r="U15" s="41">
        <f t="shared" ref="U15:U21" si="23">IF(S15&gt;0,VLOOKUP(S15,Food_Database,2,FALSE)*T15/convert,)</f>
        <v>218.68</v>
      </c>
      <c r="V15" s="3"/>
      <c r="W15" s="45" t="s">
        <v>407</v>
      </c>
      <c r="X15" s="194">
        <v>198.8</v>
      </c>
      <c r="Y15" s="41">
        <f t="shared" ref="Y15:Y21" si="24">IF(W15&gt;0,VLOOKUP(W15,Food_Database,2,FALSE)*X15/convert,)</f>
        <v>218.68</v>
      </c>
      <c r="Z15" s="3"/>
      <c r="AA15" s="45" t="s">
        <v>407</v>
      </c>
      <c r="AB15" s="194">
        <v>198.8</v>
      </c>
      <c r="AC15" s="41">
        <f t="shared" ref="AC15:AC21" si="25">IF(AA15&gt;0,VLOOKUP(AA15,Food_Database,2,FALSE)*AB15/convert,)</f>
        <v>218.68</v>
      </c>
      <c r="AD15" s="3"/>
    </row>
    <row r="16" spans="1:30">
      <c r="A16" s="117">
        <v>13</v>
      </c>
      <c r="B16" s="46" t="str">
        <f t="shared" ca="1" si="13"/>
        <v>* RICE,BROWN,MEDIUM-GRAIN,RAW</v>
      </c>
      <c r="C16" s="105">
        <f t="shared" ca="1" si="14"/>
        <v>47.5</v>
      </c>
      <c r="D16" s="49">
        <f t="shared" ca="1" si="15"/>
        <v>47</v>
      </c>
      <c r="E16" s="105">
        <f t="shared" ca="1" si="16"/>
        <v>43.844067109634558</v>
      </c>
      <c r="F16" s="105">
        <f t="shared" ca="1" si="17"/>
        <v>23.75</v>
      </c>
      <c r="G16" s="105">
        <f t="shared" ca="1" si="18"/>
        <v>47.5</v>
      </c>
      <c r="H16" s="105">
        <f t="shared" ca="1" si="19"/>
        <v>23.75</v>
      </c>
      <c r="I16" s="41">
        <f t="shared" ca="1" si="20"/>
        <v>171.95</v>
      </c>
      <c r="J16" s="3"/>
      <c r="K16" s="46" t="s">
        <v>223</v>
      </c>
      <c r="L16" s="195">
        <v>47</v>
      </c>
      <c r="M16" s="41">
        <f t="shared" si="21"/>
        <v>170.14</v>
      </c>
      <c r="N16" s="3"/>
      <c r="O16" s="46" t="s">
        <v>223</v>
      </c>
      <c r="P16" s="195">
        <v>47.5</v>
      </c>
      <c r="Q16" s="41">
        <f t="shared" si="22"/>
        <v>171.95</v>
      </c>
      <c r="R16" s="3"/>
      <c r="S16" s="46" t="s">
        <v>223</v>
      </c>
      <c r="T16" s="195">
        <v>47.5</v>
      </c>
      <c r="U16" s="41">
        <f t="shared" si="23"/>
        <v>171.95</v>
      </c>
      <c r="V16" s="3"/>
      <c r="W16" s="46" t="s">
        <v>223</v>
      </c>
      <c r="X16" s="195">
        <v>47.5</v>
      </c>
      <c r="Y16" s="41">
        <f t="shared" si="24"/>
        <v>171.95</v>
      </c>
      <c r="Z16" s="3"/>
      <c r="AA16" s="46" t="s">
        <v>223</v>
      </c>
      <c r="AB16" s="195">
        <v>47.5</v>
      </c>
      <c r="AC16" s="41">
        <f t="shared" si="25"/>
        <v>171.95</v>
      </c>
      <c r="AD16" s="3"/>
    </row>
    <row r="17" spans="1:30">
      <c r="A17" s="117">
        <v>14</v>
      </c>
      <c r="B17" s="46" t="str">
        <f t="shared" ca="1" si="13"/>
        <v>* BEANS,GREEN,RAW</v>
      </c>
      <c r="C17" s="105">
        <f t="shared" ca="1" si="14"/>
        <v>206.25</v>
      </c>
      <c r="D17" s="49">
        <f t="shared" ca="1" si="15"/>
        <v>220</v>
      </c>
      <c r="E17" s="105">
        <f t="shared" ca="1" si="16"/>
        <v>205.22754817275751</v>
      </c>
      <c r="F17" s="105">
        <f t="shared" ca="1" si="17"/>
        <v>13.75</v>
      </c>
      <c r="G17" s="105">
        <f t="shared" ca="1" si="18"/>
        <v>206.25</v>
      </c>
      <c r="H17" s="105">
        <f t="shared" ca="1" si="19"/>
        <v>192.5</v>
      </c>
      <c r="I17" s="41">
        <f t="shared" ca="1" si="20"/>
        <v>63.9375</v>
      </c>
      <c r="J17" s="3"/>
      <c r="K17" s="46" t="s">
        <v>238</v>
      </c>
      <c r="L17" s="195">
        <v>220</v>
      </c>
      <c r="M17" s="41">
        <f t="shared" si="21"/>
        <v>68.2</v>
      </c>
      <c r="N17" s="3"/>
      <c r="O17" s="46" t="s">
        <v>238</v>
      </c>
      <c r="P17" s="195">
        <v>220</v>
      </c>
      <c r="Q17" s="41">
        <f t="shared" si="22"/>
        <v>68.2</v>
      </c>
      <c r="R17" s="3"/>
      <c r="S17" s="46" t="s">
        <v>238</v>
      </c>
      <c r="T17" s="195">
        <v>220</v>
      </c>
      <c r="U17" s="41">
        <f t="shared" si="23"/>
        <v>68.2</v>
      </c>
      <c r="V17" s="3"/>
      <c r="W17" s="46" t="s">
        <v>238</v>
      </c>
      <c r="X17" s="195">
        <v>220</v>
      </c>
      <c r="Y17" s="41">
        <f t="shared" si="24"/>
        <v>68.2</v>
      </c>
      <c r="Z17" s="3"/>
      <c r="AA17" s="46" t="s">
        <v>238</v>
      </c>
      <c r="AB17" s="195">
        <v>220</v>
      </c>
      <c r="AC17" s="41">
        <f t="shared" si="25"/>
        <v>68.2</v>
      </c>
      <c r="AD17" s="3"/>
    </row>
    <row r="18" spans="1:30">
      <c r="A18" s="117">
        <v>15</v>
      </c>
      <c r="B18" s="46">
        <f t="shared" ca="1" si="13"/>
        <v>0</v>
      </c>
      <c r="C18" s="105">
        <f t="shared" ca="1" si="14"/>
        <v>0</v>
      </c>
      <c r="D18" s="49">
        <f t="shared" ca="1" si="15"/>
        <v>0</v>
      </c>
      <c r="E18" s="105">
        <f t="shared" ca="1" si="16"/>
        <v>0</v>
      </c>
      <c r="F18" s="105">
        <f t="shared" ca="1" si="17"/>
        <v>0</v>
      </c>
      <c r="G18" s="105">
        <f t="shared" ca="1" si="18"/>
        <v>0</v>
      </c>
      <c r="H18" s="105">
        <f t="shared" ca="1" si="19"/>
        <v>0</v>
      </c>
      <c r="I18" s="41">
        <f t="shared" ca="1" si="20"/>
        <v>0</v>
      </c>
      <c r="J18" s="3"/>
      <c r="K18" s="46"/>
      <c r="L18" s="195"/>
      <c r="M18" s="41">
        <f t="shared" si="21"/>
        <v>0</v>
      </c>
      <c r="N18" s="3"/>
      <c r="O18" s="46"/>
      <c r="P18" s="195"/>
      <c r="Q18" s="41">
        <f t="shared" si="22"/>
        <v>0</v>
      </c>
      <c r="R18" s="3"/>
      <c r="S18" s="46"/>
      <c r="T18" s="195"/>
      <c r="U18" s="41">
        <f t="shared" si="23"/>
        <v>0</v>
      </c>
      <c r="V18" s="3"/>
      <c r="W18" s="46"/>
      <c r="X18" s="195"/>
      <c r="Y18" s="41">
        <f t="shared" si="24"/>
        <v>0</v>
      </c>
      <c r="Z18" s="3"/>
      <c r="AA18" s="46"/>
      <c r="AB18" s="195"/>
      <c r="AC18" s="41">
        <f t="shared" si="25"/>
        <v>0</v>
      </c>
      <c r="AD18" s="3"/>
    </row>
    <row r="19" spans="1:30">
      <c r="A19" s="117">
        <v>16</v>
      </c>
      <c r="B19" s="46">
        <f t="shared" ca="1" si="13"/>
        <v>0</v>
      </c>
      <c r="C19" s="105">
        <f t="shared" ca="1" si="14"/>
        <v>0</v>
      </c>
      <c r="D19" s="49">
        <f t="shared" ca="1" si="15"/>
        <v>0</v>
      </c>
      <c r="E19" s="105">
        <f t="shared" ca="1" si="16"/>
        <v>0</v>
      </c>
      <c r="F19" s="105">
        <f t="shared" ca="1" si="17"/>
        <v>0</v>
      </c>
      <c r="G19" s="105">
        <f t="shared" ca="1" si="18"/>
        <v>0</v>
      </c>
      <c r="H19" s="105">
        <f t="shared" ca="1" si="19"/>
        <v>0</v>
      </c>
      <c r="I19" s="41">
        <f t="shared" ca="1" si="20"/>
        <v>0</v>
      </c>
      <c r="J19" s="3"/>
      <c r="K19" s="46"/>
      <c r="L19" s="49"/>
      <c r="M19" s="41">
        <f t="shared" si="21"/>
        <v>0</v>
      </c>
      <c r="N19" s="3"/>
      <c r="O19" s="46"/>
      <c r="P19" s="49"/>
      <c r="Q19" s="41">
        <f t="shared" si="22"/>
        <v>0</v>
      </c>
      <c r="R19" s="3"/>
      <c r="S19" s="46"/>
      <c r="T19" s="49"/>
      <c r="U19" s="41">
        <f t="shared" si="23"/>
        <v>0</v>
      </c>
      <c r="V19" s="3"/>
      <c r="W19" s="46"/>
      <c r="X19" s="49"/>
      <c r="Y19" s="41">
        <f t="shared" si="24"/>
        <v>0</v>
      </c>
      <c r="Z19" s="3"/>
      <c r="AA19" s="46"/>
      <c r="AB19" s="49"/>
      <c r="AC19" s="41">
        <f t="shared" si="25"/>
        <v>0</v>
      </c>
      <c r="AD19" s="3"/>
    </row>
    <row r="20" spans="1:30">
      <c r="A20" s="117">
        <v>17</v>
      </c>
      <c r="B20" s="46">
        <f t="shared" ca="1" si="13"/>
        <v>0</v>
      </c>
      <c r="C20" s="105">
        <f t="shared" ca="1" si="14"/>
        <v>0</v>
      </c>
      <c r="D20" s="49">
        <f t="shared" ca="1" si="15"/>
        <v>0</v>
      </c>
      <c r="E20" s="105">
        <f t="shared" ca="1" si="16"/>
        <v>0</v>
      </c>
      <c r="F20" s="105">
        <f t="shared" ca="1" si="17"/>
        <v>0</v>
      </c>
      <c r="G20" s="105">
        <f t="shared" ca="1" si="18"/>
        <v>0</v>
      </c>
      <c r="H20" s="105">
        <f t="shared" ca="1" si="19"/>
        <v>0</v>
      </c>
      <c r="I20" s="41">
        <f t="shared" ca="1" si="20"/>
        <v>0</v>
      </c>
      <c r="J20" s="3"/>
      <c r="K20" s="46"/>
      <c r="L20" s="49"/>
      <c r="M20" s="41">
        <f t="shared" si="21"/>
        <v>0</v>
      </c>
      <c r="N20" s="3"/>
      <c r="O20" s="46"/>
      <c r="P20" s="49"/>
      <c r="Q20" s="41">
        <f t="shared" si="22"/>
        <v>0</v>
      </c>
      <c r="R20" s="3"/>
      <c r="S20" s="46"/>
      <c r="T20" s="49"/>
      <c r="U20" s="41">
        <f t="shared" si="23"/>
        <v>0</v>
      </c>
      <c r="V20" s="3"/>
      <c r="W20" s="46"/>
      <c r="X20" s="49"/>
      <c r="Y20" s="41">
        <f t="shared" si="24"/>
        <v>0</v>
      </c>
      <c r="Z20" s="3"/>
      <c r="AA20" s="46"/>
      <c r="AB20" s="49"/>
      <c r="AC20" s="41">
        <f t="shared" si="25"/>
        <v>0</v>
      </c>
      <c r="AD20" s="3"/>
    </row>
    <row r="21" spans="1:30" ht="13.5" thickBot="1">
      <c r="A21" s="117">
        <v>18</v>
      </c>
      <c r="B21" s="47">
        <f t="shared" ca="1" si="13"/>
        <v>0</v>
      </c>
      <c r="C21" s="106">
        <f t="shared" ca="1" si="14"/>
        <v>0</v>
      </c>
      <c r="D21" s="50">
        <f t="shared" ca="1" si="15"/>
        <v>0</v>
      </c>
      <c r="E21" s="106">
        <f t="shared" ca="1" si="16"/>
        <v>0</v>
      </c>
      <c r="F21" s="106">
        <f t="shared" ca="1" si="17"/>
        <v>0</v>
      </c>
      <c r="G21" s="106">
        <f t="shared" ca="1" si="18"/>
        <v>0</v>
      </c>
      <c r="H21" s="106">
        <f t="shared" ca="1" si="19"/>
        <v>0</v>
      </c>
      <c r="I21" s="44">
        <f t="shared" ca="1" si="20"/>
        <v>0</v>
      </c>
      <c r="J21" s="3"/>
      <c r="K21" s="47"/>
      <c r="L21" s="50"/>
      <c r="M21" s="44">
        <f t="shared" si="21"/>
        <v>0</v>
      </c>
      <c r="N21" s="3"/>
      <c r="O21" s="47"/>
      <c r="P21" s="50"/>
      <c r="Q21" s="44">
        <f t="shared" si="22"/>
        <v>0</v>
      </c>
      <c r="R21" s="3"/>
      <c r="S21" s="47"/>
      <c r="T21" s="50"/>
      <c r="U21" s="44">
        <f t="shared" si="23"/>
        <v>0</v>
      </c>
      <c r="V21" s="3"/>
      <c r="W21" s="47"/>
      <c r="X21" s="50"/>
      <c r="Y21" s="44">
        <f t="shared" si="24"/>
        <v>0</v>
      </c>
      <c r="Z21" s="3"/>
      <c r="AA21" s="47"/>
      <c r="AB21" s="50"/>
      <c r="AC21" s="44">
        <f t="shared" si="25"/>
        <v>0</v>
      </c>
      <c r="AD21" s="3"/>
    </row>
    <row r="22" spans="1:30" ht="13.5" thickBot="1">
      <c r="A22" s="117">
        <v>19</v>
      </c>
      <c r="B22" s="77" t="s">
        <v>268</v>
      </c>
      <c r="C22" s="3"/>
      <c r="D22" s="3"/>
      <c r="E22" s="3"/>
      <c r="F22" s="3"/>
      <c r="G22" s="3"/>
      <c r="H22" s="3"/>
      <c r="I22" s="3"/>
      <c r="J22" s="3"/>
      <c r="K22" s="77" t="s">
        <v>268</v>
      </c>
      <c r="L22" s="3"/>
      <c r="M22" s="3"/>
      <c r="N22" s="3"/>
      <c r="O22" s="77" t="s">
        <v>268</v>
      </c>
      <c r="P22" s="3"/>
      <c r="Q22" s="3"/>
      <c r="R22" s="3"/>
      <c r="S22" s="77" t="s">
        <v>268</v>
      </c>
      <c r="T22" s="3"/>
      <c r="U22" s="3"/>
      <c r="V22" s="3"/>
      <c r="W22" s="77" t="s">
        <v>268</v>
      </c>
      <c r="X22" s="3"/>
      <c r="Y22" s="3"/>
      <c r="Z22" s="3"/>
      <c r="AA22" s="77" t="s">
        <v>268</v>
      </c>
      <c r="AB22" s="3"/>
      <c r="AC22" s="3"/>
      <c r="AD22" s="3"/>
    </row>
    <row r="23" spans="1:30" ht="14.25" thickTop="1" thickBot="1">
      <c r="A23" s="117">
        <v>20</v>
      </c>
      <c r="B23" s="78"/>
      <c r="C23" s="79"/>
      <c r="D23" s="79" t="s">
        <v>1271</v>
      </c>
      <c r="E23" s="79"/>
      <c r="F23" s="79"/>
      <c r="G23" s="79"/>
      <c r="H23" s="79"/>
      <c r="I23" s="81">
        <f ca="1">SUM(I26:I32)</f>
        <v>554.45749999999998</v>
      </c>
      <c r="J23" s="3"/>
      <c r="K23" s="78"/>
      <c r="L23" s="79" t="s">
        <v>1271</v>
      </c>
      <c r="M23" s="81">
        <f>SUM(M26:M32)</f>
        <v>600.68000000000006</v>
      </c>
      <c r="N23" s="3"/>
      <c r="O23" s="78"/>
      <c r="P23" s="79" t="s">
        <v>1271</v>
      </c>
      <c r="Q23" s="81">
        <f>SUM(Q26:Q32)</f>
        <v>600.68000000000006</v>
      </c>
      <c r="R23" s="3"/>
      <c r="S23" s="78"/>
      <c r="T23" s="79" t="s">
        <v>1271</v>
      </c>
      <c r="U23" s="81">
        <f>SUM(U26:U32)</f>
        <v>600.68000000000006</v>
      </c>
      <c r="V23" s="3"/>
      <c r="W23" s="78"/>
      <c r="X23" s="79" t="s">
        <v>1271</v>
      </c>
      <c r="Y23" s="81">
        <f>SUM(Y26:Y32)</f>
        <v>685.98500000000001</v>
      </c>
      <c r="Z23" s="3"/>
      <c r="AA23" s="78"/>
      <c r="AB23" s="79" t="s">
        <v>1271</v>
      </c>
      <c r="AC23" s="81">
        <f>SUM(AC26:AC32)</f>
        <v>600.68000000000006</v>
      </c>
      <c r="AD23" s="3"/>
    </row>
    <row r="24" spans="1:30" ht="13.5" thickBot="1">
      <c r="A24" s="117">
        <v>21</v>
      </c>
      <c r="B24" s="82" t="s">
        <v>1483</v>
      </c>
      <c r="C24" s="83"/>
      <c r="D24" s="83" t="s">
        <v>1270</v>
      </c>
      <c r="E24" s="83"/>
      <c r="F24" s="83"/>
      <c r="G24" s="83"/>
      <c r="H24" s="83"/>
      <c r="I24" s="83"/>
      <c r="J24" s="3"/>
      <c r="K24" s="82" t="s">
        <v>1483</v>
      </c>
      <c r="L24" s="83" t="s">
        <v>1270</v>
      </c>
      <c r="M24" s="83"/>
      <c r="N24" s="3"/>
      <c r="O24" s="82" t="s">
        <v>1483</v>
      </c>
      <c r="P24" s="83" t="s">
        <v>1270</v>
      </c>
      <c r="Q24" s="83"/>
      <c r="R24" s="3"/>
      <c r="S24" s="82" t="s">
        <v>1483</v>
      </c>
      <c r="T24" s="83" t="s">
        <v>1270</v>
      </c>
      <c r="U24" s="83"/>
      <c r="V24" s="3"/>
      <c r="W24" s="82" t="s">
        <v>1483</v>
      </c>
      <c r="X24" s="83" t="s">
        <v>1270</v>
      </c>
      <c r="Y24" s="83"/>
      <c r="Z24" s="3"/>
      <c r="AA24" s="82" t="s">
        <v>1483</v>
      </c>
      <c r="AB24" s="83" t="s">
        <v>1270</v>
      </c>
      <c r="AC24" s="83"/>
      <c r="AD24" s="3"/>
    </row>
    <row r="25" spans="1:30" ht="13.5" thickBot="1">
      <c r="A25" s="117">
        <v>22</v>
      </c>
      <c r="B25" s="16" t="s">
        <v>1269</v>
      </c>
      <c r="C25" s="37"/>
      <c r="D25" s="37" t="str">
        <f>PROPER(units)</f>
        <v>Grams</v>
      </c>
      <c r="E25" s="37"/>
      <c r="F25" s="37"/>
      <c r="G25" s="37"/>
      <c r="H25" s="37"/>
      <c r="I25" s="36" t="s">
        <v>1474</v>
      </c>
      <c r="J25" s="3"/>
      <c r="K25" s="16" t="s">
        <v>1269</v>
      </c>
      <c r="L25" s="37" t="str">
        <f>PROPER(units)</f>
        <v>Grams</v>
      </c>
      <c r="M25" s="36" t="s">
        <v>1474</v>
      </c>
      <c r="N25" s="3"/>
      <c r="O25" s="16" t="s">
        <v>1269</v>
      </c>
      <c r="P25" s="37" t="str">
        <f>PROPER(units)</f>
        <v>Grams</v>
      </c>
      <c r="Q25" s="36" t="s">
        <v>1474</v>
      </c>
      <c r="R25" s="3"/>
      <c r="S25" s="16" t="s">
        <v>1269</v>
      </c>
      <c r="T25" s="37" t="str">
        <f>PROPER(units)</f>
        <v>Grams</v>
      </c>
      <c r="U25" s="36" t="s">
        <v>1474</v>
      </c>
      <c r="V25" s="3"/>
      <c r="W25" s="16" t="s">
        <v>1269</v>
      </c>
      <c r="X25" s="37" t="str">
        <f>PROPER(units)</f>
        <v>Grams</v>
      </c>
      <c r="Y25" s="36" t="s">
        <v>1474</v>
      </c>
      <c r="Z25" s="3"/>
      <c r="AA25" s="16" t="s">
        <v>1269</v>
      </c>
      <c r="AB25" s="37" t="str">
        <f>PROPER(units)</f>
        <v>Grams</v>
      </c>
      <c r="AC25" s="36" t="s">
        <v>1474</v>
      </c>
      <c r="AD25" s="3"/>
    </row>
    <row r="26" spans="1:30">
      <c r="A26" s="117">
        <v>23</v>
      </c>
      <c r="B26" s="45" t="str">
        <f t="shared" ref="B26:B32" ca="1" si="26">INDEX(INDIRECT(Body.db),A26,1)</f>
        <v xml:space="preserve">* TUNA,LT,CND IN H2O,DRAINED </v>
      </c>
      <c r="C26" s="104">
        <f t="shared" ref="C26:C32" ca="1" si="27">IF(B26&gt;0,IF(G26-E26&gt;E26-H26,H26,G26),)</f>
        <v>173.25</v>
      </c>
      <c r="D26" s="48">
        <f t="shared" ref="D26:D32" ca="1" si="28">INDEX(INDIRECT(VLOOKUP(Body.type,Body_type,5,FALSE)),A26,2)</f>
        <v>180</v>
      </c>
      <c r="E26" s="104">
        <f t="shared" ref="E26:E32" ca="1" si="29">IF(B26&gt;0,D26*$J$4,)</f>
        <v>167.91344850498342</v>
      </c>
      <c r="F26" s="104">
        <f t="shared" ref="F26:F32" ca="1" si="30">IF(B26&gt;0,VLOOKUP(B26,Food_Database,9,FALSE),)</f>
        <v>19.25</v>
      </c>
      <c r="G26" s="104">
        <f t="shared" ref="G26:G32" ca="1" si="31">IF(B26&gt;0,CEILING(E26,F26),)</f>
        <v>173.25</v>
      </c>
      <c r="H26" s="104">
        <f t="shared" ref="H26:H32" ca="1" si="32">IF(B26&gt;0,FLOOR(E26,F26),)</f>
        <v>154</v>
      </c>
      <c r="I26" s="41">
        <f t="shared" ref="I26:I32" ca="1" si="33">IF(B26&gt;0,VLOOKUP(B26,Food_Database,2,FALSE)*C26/convert,)</f>
        <v>200.97</v>
      </c>
      <c r="J26" s="3"/>
      <c r="K26" s="45" t="s">
        <v>262</v>
      </c>
      <c r="L26" s="194">
        <v>180</v>
      </c>
      <c r="M26" s="41">
        <f t="shared" ref="M26:M32" si="34">IF(K26&gt;0,VLOOKUP(K26,Food_Database,2,FALSE)*L26/convert,)</f>
        <v>208.8</v>
      </c>
      <c r="N26" s="3"/>
      <c r="O26" s="45" t="s">
        <v>262</v>
      </c>
      <c r="P26" s="194">
        <v>180</v>
      </c>
      <c r="Q26" s="41">
        <f t="shared" ref="Q26:Q32" si="35">IF(O26&gt;0,VLOOKUP(O26,Food_Database,2,FALSE)*P26/convert,)</f>
        <v>208.8</v>
      </c>
      <c r="R26" s="3"/>
      <c r="S26" s="45" t="s">
        <v>262</v>
      </c>
      <c r="T26" s="194">
        <v>180</v>
      </c>
      <c r="U26" s="41">
        <f t="shared" ref="U26:U32" si="36">IF(S26&gt;0,VLOOKUP(S26,Food_Database,2,FALSE)*T26/convert,)</f>
        <v>208.8</v>
      </c>
      <c r="V26" s="3"/>
      <c r="W26" s="45" t="s">
        <v>262</v>
      </c>
      <c r="X26" s="194">
        <v>192.5</v>
      </c>
      <c r="Y26" s="41">
        <f t="shared" ref="Y26:Y32" si="37">IF(W26&gt;0,VLOOKUP(W26,Food_Database,2,FALSE)*X26/convert,)</f>
        <v>223.3</v>
      </c>
      <c r="Z26" s="3"/>
      <c r="AA26" s="45" t="s">
        <v>262</v>
      </c>
      <c r="AB26" s="194">
        <v>180</v>
      </c>
      <c r="AC26" s="41">
        <f t="shared" ref="AC26:AC32" si="38">IF(AA26&gt;0,VLOOKUP(AA26,Food_Database,2,FALSE)*AB26/convert,)</f>
        <v>208.8</v>
      </c>
      <c r="AD26" s="3"/>
    </row>
    <row r="27" spans="1:30">
      <c r="A27" s="117">
        <v>24</v>
      </c>
      <c r="B27" s="46" t="str">
        <f t="shared" ca="1" si="26"/>
        <v>* BREAD,MULTI/WHL GRAIN</v>
      </c>
      <c r="C27" s="105">
        <f t="shared" ca="1" si="27"/>
        <v>52</v>
      </c>
      <c r="D27" s="49">
        <f t="shared" ca="1" si="28"/>
        <v>60</v>
      </c>
      <c r="E27" s="105">
        <f t="shared" ca="1" si="29"/>
        <v>55.971149501661145</v>
      </c>
      <c r="F27" s="105">
        <f t="shared" ca="1" si="30"/>
        <v>13</v>
      </c>
      <c r="G27" s="105">
        <f t="shared" ca="1" si="31"/>
        <v>65</v>
      </c>
      <c r="H27" s="105">
        <f t="shared" ca="1" si="32"/>
        <v>52</v>
      </c>
      <c r="I27" s="41">
        <f t="shared" ca="1" si="33"/>
        <v>137.80000000000001</v>
      </c>
      <c r="J27" s="3"/>
      <c r="K27" s="46" t="s">
        <v>746</v>
      </c>
      <c r="L27" s="195">
        <v>60</v>
      </c>
      <c r="M27" s="41">
        <f t="shared" si="34"/>
        <v>159</v>
      </c>
      <c r="N27" s="3"/>
      <c r="O27" s="46" t="s">
        <v>746</v>
      </c>
      <c r="P27" s="195">
        <v>60</v>
      </c>
      <c r="Q27" s="41">
        <f t="shared" si="35"/>
        <v>159</v>
      </c>
      <c r="R27" s="3"/>
      <c r="S27" s="46" t="s">
        <v>746</v>
      </c>
      <c r="T27" s="195">
        <v>60</v>
      </c>
      <c r="U27" s="41">
        <f t="shared" si="36"/>
        <v>159</v>
      </c>
      <c r="V27" s="3"/>
      <c r="W27" s="46" t="s">
        <v>746</v>
      </c>
      <c r="X27" s="195">
        <v>65</v>
      </c>
      <c r="Y27" s="41">
        <f t="shared" si="37"/>
        <v>172.25</v>
      </c>
      <c r="Z27" s="3"/>
      <c r="AA27" s="46" t="s">
        <v>746</v>
      </c>
      <c r="AB27" s="195">
        <v>60</v>
      </c>
      <c r="AC27" s="41">
        <f t="shared" si="38"/>
        <v>159</v>
      </c>
      <c r="AD27" s="3"/>
    </row>
    <row r="28" spans="1:30">
      <c r="A28" s="117">
        <v>25</v>
      </c>
      <c r="B28" s="46" t="str">
        <f t="shared" ca="1" si="26"/>
        <v>* SALAD DRSNG, MIRACLE WHIP</v>
      </c>
      <c r="C28" s="105">
        <f t="shared" ca="1" si="27"/>
        <v>16</v>
      </c>
      <c r="D28" s="49">
        <f t="shared" ca="1" si="28"/>
        <v>16</v>
      </c>
      <c r="E28" s="105">
        <f t="shared" ca="1" si="29"/>
        <v>14.925639867109638</v>
      </c>
      <c r="F28" s="105">
        <f t="shared" ca="1" si="30"/>
        <v>8</v>
      </c>
      <c r="G28" s="105">
        <f t="shared" ca="1" si="31"/>
        <v>16</v>
      </c>
      <c r="H28" s="105">
        <f t="shared" ca="1" si="32"/>
        <v>8</v>
      </c>
      <c r="I28" s="41">
        <f t="shared" ca="1" si="33"/>
        <v>13.44</v>
      </c>
      <c r="J28" s="3"/>
      <c r="K28" s="46" t="s">
        <v>387</v>
      </c>
      <c r="L28" s="195">
        <v>16</v>
      </c>
      <c r="M28" s="41">
        <f t="shared" si="34"/>
        <v>13.44</v>
      </c>
      <c r="N28" s="3"/>
      <c r="O28" s="46" t="s">
        <v>387</v>
      </c>
      <c r="P28" s="195">
        <v>16</v>
      </c>
      <c r="Q28" s="41">
        <f t="shared" si="35"/>
        <v>13.44</v>
      </c>
      <c r="R28" s="3"/>
      <c r="S28" s="46" t="s">
        <v>387</v>
      </c>
      <c r="T28" s="195">
        <v>16</v>
      </c>
      <c r="U28" s="41">
        <f t="shared" si="36"/>
        <v>13.44</v>
      </c>
      <c r="V28" s="3"/>
      <c r="W28" s="46" t="s">
        <v>387</v>
      </c>
      <c r="X28" s="195">
        <v>16</v>
      </c>
      <c r="Y28" s="41">
        <f t="shared" si="37"/>
        <v>13.44</v>
      </c>
      <c r="Z28" s="3"/>
      <c r="AA28" s="46" t="s">
        <v>387</v>
      </c>
      <c r="AB28" s="195">
        <v>16</v>
      </c>
      <c r="AC28" s="41">
        <f t="shared" si="38"/>
        <v>13.44</v>
      </c>
      <c r="AD28" s="3"/>
    </row>
    <row r="29" spans="1:30">
      <c r="A29" s="117">
        <v>26</v>
      </c>
      <c r="B29" s="46" t="str">
        <f t="shared" ca="1" si="26"/>
        <v>* APPLES,RAW,WITH SKIN</v>
      </c>
      <c r="C29" s="105">
        <f t="shared" ca="1" si="27"/>
        <v>109.375</v>
      </c>
      <c r="D29" s="49">
        <f t="shared" ca="1" si="28"/>
        <v>125</v>
      </c>
      <c r="E29" s="105">
        <f t="shared" ca="1" si="29"/>
        <v>116.60656146179404</v>
      </c>
      <c r="F29" s="105">
        <f t="shared" ca="1" si="30"/>
        <v>15.625</v>
      </c>
      <c r="G29" s="105">
        <f t="shared" ca="1" si="31"/>
        <v>125</v>
      </c>
      <c r="H29" s="105">
        <f t="shared" ca="1" si="32"/>
        <v>109.375</v>
      </c>
      <c r="I29" s="41">
        <f t="shared" ca="1" si="33"/>
        <v>56.875</v>
      </c>
      <c r="J29" s="3"/>
      <c r="K29" s="46" t="s">
        <v>225</v>
      </c>
      <c r="L29" s="195">
        <v>125</v>
      </c>
      <c r="M29" s="41">
        <f t="shared" si="34"/>
        <v>65</v>
      </c>
      <c r="N29" s="3"/>
      <c r="O29" s="46" t="s">
        <v>225</v>
      </c>
      <c r="P29" s="195">
        <v>125</v>
      </c>
      <c r="Q29" s="41">
        <f t="shared" si="35"/>
        <v>65</v>
      </c>
      <c r="R29" s="3"/>
      <c r="S29" s="46" t="s">
        <v>225</v>
      </c>
      <c r="T29" s="195">
        <v>125</v>
      </c>
      <c r="U29" s="41">
        <f t="shared" si="36"/>
        <v>65</v>
      </c>
      <c r="V29" s="3"/>
      <c r="W29" s="46" t="s">
        <v>225</v>
      </c>
      <c r="X29" s="195">
        <v>125</v>
      </c>
      <c r="Y29" s="41">
        <f t="shared" si="37"/>
        <v>65</v>
      </c>
      <c r="Z29" s="3"/>
      <c r="AA29" s="46" t="s">
        <v>225</v>
      </c>
      <c r="AB29" s="195">
        <v>125</v>
      </c>
      <c r="AC29" s="41">
        <f t="shared" si="38"/>
        <v>65</v>
      </c>
      <c r="AD29" s="3"/>
    </row>
    <row r="30" spans="1:30">
      <c r="A30" s="117">
        <v>27</v>
      </c>
      <c r="B30" s="46" t="str">
        <f t="shared" ca="1" si="26"/>
        <v>BLUEBERRIES,RAW</v>
      </c>
      <c r="C30" s="105">
        <f t="shared" ca="1" si="27"/>
        <v>73.5</v>
      </c>
      <c r="D30" s="49">
        <f t="shared" ca="1" si="28"/>
        <v>72</v>
      </c>
      <c r="E30" s="105">
        <f t="shared" ca="1" si="29"/>
        <v>67.165379401993363</v>
      </c>
      <c r="F30" s="105">
        <f t="shared" ca="1" si="30"/>
        <v>18.375</v>
      </c>
      <c r="G30" s="105">
        <f t="shared" ca="1" si="31"/>
        <v>73.5</v>
      </c>
      <c r="H30" s="105">
        <f t="shared" ca="1" si="32"/>
        <v>55.125</v>
      </c>
      <c r="I30" s="41">
        <f t="shared" ca="1" si="33"/>
        <v>41.895000000000003</v>
      </c>
      <c r="J30" s="3"/>
      <c r="K30" s="46" t="s">
        <v>171</v>
      </c>
      <c r="L30" s="195">
        <v>72</v>
      </c>
      <c r="M30" s="41">
        <f t="shared" si="34"/>
        <v>41.04</v>
      </c>
      <c r="N30" s="3"/>
      <c r="O30" s="46" t="s">
        <v>171</v>
      </c>
      <c r="P30" s="195">
        <v>72</v>
      </c>
      <c r="Q30" s="41">
        <f t="shared" si="35"/>
        <v>41.04</v>
      </c>
      <c r="R30" s="3"/>
      <c r="S30" s="46" t="s">
        <v>171</v>
      </c>
      <c r="T30" s="195">
        <v>72</v>
      </c>
      <c r="U30" s="41">
        <f t="shared" si="36"/>
        <v>41.04</v>
      </c>
      <c r="V30" s="3"/>
      <c r="W30" s="46" t="s">
        <v>171</v>
      </c>
      <c r="X30" s="195">
        <v>73.5</v>
      </c>
      <c r="Y30" s="41">
        <f t="shared" si="37"/>
        <v>41.895000000000003</v>
      </c>
      <c r="Z30" s="3"/>
      <c r="AA30" s="46" t="s">
        <v>171</v>
      </c>
      <c r="AB30" s="195">
        <v>72</v>
      </c>
      <c r="AC30" s="41">
        <f t="shared" si="38"/>
        <v>41.04</v>
      </c>
      <c r="AD30" s="3"/>
    </row>
    <row r="31" spans="1:30">
      <c r="A31" s="117">
        <v>28</v>
      </c>
      <c r="B31" s="46" t="str">
        <f t="shared" ca="1" si="26"/>
        <v>PEANUTS,ALL TYPES,RAW</v>
      </c>
      <c r="C31" s="105">
        <f t="shared" ca="1" si="27"/>
        <v>18.25</v>
      </c>
      <c r="D31" s="49">
        <f t="shared" ca="1" si="28"/>
        <v>20</v>
      </c>
      <c r="E31" s="105">
        <f t="shared" ca="1" si="29"/>
        <v>18.657049833887047</v>
      </c>
      <c r="F31" s="105">
        <f t="shared" ca="1" si="30"/>
        <v>18.25</v>
      </c>
      <c r="G31" s="105">
        <f t="shared" ca="1" si="31"/>
        <v>36.5</v>
      </c>
      <c r="H31" s="105">
        <f t="shared" ca="1" si="32"/>
        <v>18.25</v>
      </c>
      <c r="I31" s="41">
        <f t="shared" ca="1" si="33"/>
        <v>103.47750000000001</v>
      </c>
      <c r="J31" s="3"/>
      <c r="K31" s="46" t="s">
        <v>1107</v>
      </c>
      <c r="L31" s="195">
        <v>20</v>
      </c>
      <c r="M31" s="41">
        <f t="shared" si="34"/>
        <v>113.4</v>
      </c>
      <c r="N31" s="3"/>
      <c r="O31" s="46" t="s">
        <v>1107</v>
      </c>
      <c r="P31" s="195">
        <v>20</v>
      </c>
      <c r="Q31" s="41">
        <f t="shared" si="35"/>
        <v>113.4</v>
      </c>
      <c r="R31" s="3"/>
      <c r="S31" s="46" t="s">
        <v>1107</v>
      </c>
      <c r="T31" s="195">
        <v>20</v>
      </c>
      <c r="U31" s="41">
        <f t="shared" si="36"/>
        <v>113.4</v>
      </c>
      <c r="V31" s="3"/>
      <c r="W31" s="46" t="s">
        <v>1107</v>
      </c>
      <c r="X31" s="195">
        <v>30</v>
      </c>
      <c r="Y31" s="41">
        <f t="shared" si="37"/>
        <v>170.1</v>
      </c>
      <c r="Z31" s="3"/>
      <c r="AA31" s="46" t="s">
        <v>1107</v>
      </c>
      <c r="AB31" s="195">
        <v>20</v>
      </c>
      <c r="AC31" s="41">
        <f t="shared" si="38"/>
        <v>113.4</v>
      </c>
      <c r="AD31" s="3"/>
    </row>
    <row r="32" spans="1:30" ht="13.5" thickBot="1">
      <c r="A32" s="117">
        <v>29</v>
      </c>
      <c r="B32" s="47">
        <f t="shared" ca="1" si="26"/>
        <v>0</v>
      </c>
      <c r="C32" s="106">
        <f t="shared" ca="1" si="27"/>
        <v>0</v>
      </c>
      <c r="D32" s="50">
        <f t="shared" ca="1" si="28"/>
        <v>0</v>
      </c>
      <c r="E32" s="106">
        <f t="shared" ca="1" si="29"/>
        <v>0</v>
      </c>
      <c r="F32" s="106">
        <f t="shared" ca="1" si="30"/>
        <v>0</v>
      </c>
      <c r="G32" s="106">
        <f t="shared" ca="1" si="31"/>
        <v>0</v>
      </c>
      <c r="H32" s="106">
        <f t="shared" ca="1" si="32"/>
        <v>0</v>
      </c>
      <c r="I32" s="44">
        <f t="shared" ca="1" si="33"/>
        <v>0</v>
      </c>
      <c r="J32" s="3"/>
      <c r="K32" s="47"/>
      <c r="L32" s="53"/>
      <c r="M32" s="44">
        <f t="shared" si="34"/>
        <v>0</v>
      </c>
      <c r="N32" s="3"/>
      <c r="O32" s="47"/>
      <c r="P32" s="53"/>
      <c r="Q32" s="44">
        <f t="shared" si="35"/>
        <v>0</v>
      </c>
      <c r="R32" s="3"/>
      <c r="S32" s="46"/>
      <c r="T32" s="195"/>
      <c r="U32" s="44">
        <f t="shared" si="36"/>
        <v>0</v>
      </c>
      <c r="V32" s="3"/>
      <c r="W32" s="47"/>
      <c r="X32" s="53"/>
      <c r="Y32" s="44">
        <f t="shared" si="37"/>
        <v>0</v>
      </c>
      <c r="Z32" s="3"/>
      <c r="AA32" s="47"/>
      <c r="AB32" s="53"/>
      <c r="AC32" s="44">
        <f t="shared" si="38"/>
        <v>0</v>
      </c>
      <c r="AD32" s="3"/>
    </row>
    <row r="33" spans="1:30" ht="13.5" thickBot="1">
      <c r="A33" s="117">
        <v>30</v>
      </c>
      <c r="B33" s="77" t="s">
        <v>268</v>
      </c>
      <c r="C33" s="3"/>
      <c r="D33" s="3"/>
      <c r="E33" s="3"/>
      <c r="F33" s="3"/>
      <c r="G33" s="3"/>
      <c r="H33" s="3"/>
      <c r="I33" s="3"/>
      <c r="J33" s="3"/>
      <c r="K33" s="77" t="s">
        <v>268</v>
      </c>
      <c r="L33" s="3"/>
      <c r="M33" s="3"/>
      <c r="N33" s="3"/>
      <c r="O33" s="77" t="s">
        <v>268</v>
      </c>
      <c r="P33" s="3"/>
      <c r="Q33" s="3"/>
      <c r="R33" s="3"/>
      <c r="S33" s="77" t="s">
        <v>268</v>
      </c>
      <c r="T33" s="3"/>
      <c r="U33" s="3"/>
      <c r="V33" s="3"/>
      <c r="W33" s="77" t="s">
        <v>268</v>
      </c>
      <c r="X33" s="3"/>
      <c r="Y33" s="3"/>
      <c r="Z33" s="3"/>
      <c r="AA33" s="77" t="s">
        <v>268</v>
      </c>
      <c r="AB33" s="3"/>
      <c r="AC33" s="3"/>
      <c r="AD33" s="3"/>
    </row>
    <row r="34" spans="1:30" ht="14.25" thickTop="1" thickBot="1">
      <c r="A34" s="117">
        <v>31</v>
      </c>
      <c r="B34" s="78"/>
      <c r="C34" s="79"/>
      <c r="D34" s="79" t="s">
        <v>1271</v>
      </c>
      <c r="E34" s="79"/>
      <c r="F34" s="79"/>
      <c r="G34" s="79"/>
      <c r="H34" s="79"/>
      <c r="I34" s="81">
        <f ca="1">SUM(I37:I43)</f>
        <v>554.97500000000002</v>
      </c>
      <c r="J34" s="3"/>
      <c r="K34" s="78"/>
      <c r="L34" s="79" t="s">
        <v>1271</v>
      </c>
      <c r="M34" s="81">
        <f>SUM(M37:M43)</f>
        <v>582.70000000000005</v>
      </c>
      <c r="N34" s="3"/>
      <c r="O34" s="78"/>
      <c r="P34" s="79" t="s">
        <v>1271</v>
      </c>
      <c r="Q34" s="81">
        <f>SUM(Q37:Q43)</f>
        <v>550.64499999999998</v>
      </c>
      <c r="R34" s="3"/>
      <c r="S34" s="78"/>
      <c r="T34" s="79" t="s">
        <v>1271</v>
      </c>
      <c r="U34" s="81">
        <f>SUM(U37:U43)</f>
        <v>585.29999999999995</v>
      </c>
      <c r="V34" s="3"/>
      <c r="W34" s="78"/>
      <c r="X34" s="79" t="s">
        <v>1271</v>
      </c>
      <c r="Y34" s="81">
        <f>SUM(Y37:Y43)</f>
        <v>585.29999999999995</v>
      </c>
      <c r="Z34" s="3"/>
      <c r="AA34" s="78"/>
      <c r="AB34" s="79" t="s">
        <v>1271</v>
      </c>
      <c r="AC34" s="81">
        <f>SUM(AC37:AC43)</f>
        <v>585.29999999999995</v>
      </c>
      <c r="AD34" s="3"/>
    </row>
    <row r="35" spans="1:30" ht="13.5" thickBot="1">
      <c r="A35" s="117">
        <v>32</v>
      </c>
      <c r="B35" s="82" t="s">
        <v>201</v>
      </c>
      <c r="C35" s="83"/>
      <c r="D35" s="83" t="s">
        <v>1270</v>
      </c>
      <c r="E35" s="83"/>
      <c r="F35" s="83"/>
      <c r="G35" s="83"/>
      <c r="H35" s="83"/>
      <c r="I35" s="83"/>
      <c r="J35" s="3"/>
      <c r="K35" s="82" t="s">
        <v>1480</v>
      </c>
      <c r="L35" s="83" t="s">
        <v>1270</v>
      </c>
      <c r="M35" s="83"/>
      <c r="N35" s="3"/>
      <c r="O35" s="82" t="s">
        <v>1480</v>
      </c>
      <c r="P35" s="83" t="s">
        <v>1270</v>
      </c>
      <c r="Q35" s="83"/>
      <c r="R35" s="3"/>
      <c r="S35" s="82" t="s">
        <v>1480</v>
      </c>
      <c r="T35" s="83" t="s">
        <v>1270</v>
      </c>
      <c r="U35" s="83"/>
      <c r="V35" s="3"/>
      <c r="W35" s="82" t="s">
        <v>1480</v>
      </c>
      <c r="X35" s="83" t="s">
        <v>1270</v>
      </c>
      <c r="Y35" s="83"/>
      <c r="Z35" s="3"/>
      <c r="AA35" s="82" t="s">
        <v>1480</v>
      </c>
      <c r="AB35" s="83" t="s">
        <v>1270</v>
      </c>
      <c r="AC35" s="83"/>
      <c r="AD35" s="3"/>
    </row>
    <row r="36" spans="1:30" ht="13.5" thickBot="1">
      <c r="A36" s="117">
        <v>33</v>
      </c>
      <c r="B36" s="16" t="s">
        <v>1269</v>
      </c>
      <c r="C36" s="37"/>
      <c r="D36" s="37" t="str">
        <f>PROPER(units)</f>
        <v>Grams</v>
      </c>
      <c r="E36" s="37"/>
      <c r="F36" s="37"/>
      <c r="G36" s="37"/>
      <c r="H36" s="37"/>
      <c r="I36" s="36" t="s">
        <v>1474</v>
      </c>
      <c r="J36" s="3"/>
      <c r="K36" s="16" t="s">
        <v>1269</v>
      </c>
      <c r="L36" s="37" t="str">
        <f>PROPER(units)</f>
        <v>Grams</v>
      </c>
      <c r="M36" s="36" t="s">
        <v>1474</v>
      </c>
      <c r="N36" s="3"/>
      <c r="O36" s="16" t="s">
        <v>1269</v>
      </c>
      <c r="P36" s="37" t="str">
        <f>PROPER(units)</f>
        <v>Grams</v>
      </c>
      <c r="Q36" s="36" t="s">
        <v>1474</v>
      </c>
      <c r="R36" s="3"/>
      <c r="S36" s="16" t="s">
        <v>1269</v>
      </c>
      <c r="T36" s="37" t="str">
        <f>PROPER(units)</f>
        <v>Grams</v>
      </c>
      <c r="U36" s="36" t="s">
        <v>1474</v>
      </c>
      <c r="V36" s="3"/>
      <c r="W36" s="16" t="s">
        <v>1269</v>
      </c>
      <c r="X36" s="37" t="str">
        <f>PROPER(units)</f>
        <v>Grams</v>
      </c>
      <c r="Y36" s="36" t="s">
        <v>1474</v>
      </c>
      <c r="Z36" s="3"/>
      <c r="AA36" s="16" t="s">
        <v>1269</v>
      </c>
      <c r="AB36" s="37" t="str">
        <f>PROPER(units)</f>
        <v>Grams</v>
      </c>
      <c r="AC36" s="36" t="s">
        <v>1474</v>
      </c>
      <c r="AD36" s="3"/>
    </row>
    <row r="37" spans="1:30">
      <c r="A37" s="117">
        <v>34</v>
      </c>
      <c r="B37" s="45" t="str">
        <f t="shared" ref="B37:B43" ca="1" si="39">INDEX(INDIRECT(Body.db),A37,1)</f>
        <v xml:space="preserve">* TUNA,LT,CND IN H2O,DRAINED </v>
      </c>
      <c r="C37" s="104">
        <f t="shared" ref="C37:C43" ca="1" si="40">IF(B37&gt;0,IF(G37-E37&gt;E37-H37,H37,G37),)</f>
        <v>134.75</v>
      </c>
      <c r="D37" s="48">
        <f t="shared" ref="D37:D43" ca="1" si="41">INDEX(INDIRECT(VLOOKUP(Body.type,Body_type,5,FALSE)),A37,2)</f>
        <v>154</v>
      </c>
      <c r="E37" s="104">
        <f t="shared" ref="E37:E43" ca="1" si="42">IF(B37&gt;0,D37*$J$4,)</f>
        <v>143.65928372093026</v>
      </c>
      <c r="F37" s="104">
        <f t="shared" ref="F37:F43" ca="1" si="43">IF(B37&gt;0,VLOOKUP(B37,Food_Database,9,FALSE),)</f>
        <v>19.25</v>
      </c>
      <c r="G37" s="104">
        <f t="shared" ref="G37:G43" ca="1" si="44">IF(B37&gt;0,CEILING(E37,F37),)</f>
        <v>154</v>
      </c>
      <c r="H37" s="104">
        <f t="shared" ref="H37:H43" ca="1" si="45">IF(B37&gt;0,FLOOR(E37,F37),)</f>
        <v>134.75</v>
      </c>
      <c r="I37" s="41">
        <f t="shared" ref="I37:I43" ca="1" si="46">IF(B37&gt;0,VLOOKUP(B37,Food_Database,2,FALSE)*C37/convert,)</f>
        <v>156.31</v>
      </c>
      <c r="J37" s="3"/>
      <c r="K37" s="45" t="s">
        <v>262</v>
      </c>
      <c r="L37" s="194">
        <v>154</v>
      </c>
      <c r="M37" s="41">
        <f t="shared" ref="M37:M43" si="47">IF(K37&gt;0,VLOOKUP(K37,Food_Database,2,FALSE)*L37/convert,)</f>
        <v>178.64</v>
      </c>
      <c r="N37" s="3"/>
      <c r="O37" s="45" t="s">
        <v>262</v>
      </c>
      <c r="P37" s="194">
        <v>154</v>
      </c>
      <c r="Q37" s="41">
        <f t="shared" ref="Q37:Q43" si="48">IF(O37&gt;0,VLOOKUP(O37,Food_Database,2,FALSE)*P37/convert,)</f>
        <v>178.64</v>
      </c>
      <c r="R37" s="3"/>
      <c r="S37" s="45" t="s">
        <v>262</v>
      </c>
      <c r="T37" s="194">
        <v>154</v>
      </c>
      <c r="U37" s="41">
        <f t="shared" ref="U37:U43" si="49">IF(S37&gt;0,VLOOKUP(S37,Food_Database,2,FALSE)*T37/convert,)</f>
        <v>178.64</v>
      </c>
      <c r="V37" s="3"/>
      <c r="W37" s="45" t="s">
        <v>262</v>
      </c>
      <c r="X37" s="194">
        <v>154</v>
      </c>
      <c r="Y37" s="41">
        <f t="shared" ref="Y37:Y43" si="50">IF(W37&gt;0,VLOOKUP(W37,Food_Database,2,FALSE)*X37/convert,)</f>
        <v>178.64</v>
      </c>
      <c r="Z37" s="3"/>
      <c r="AA37" s="45" t="s">
        <v>262</v>
      </c>
      <c r="AB37" s="194">
        <v>154</v>
      </c>
      <c r="AC37" s="41">
        <f t="shared" ref="AC37:AC43" si="51">IF(AA37&gt;0,VLOOKUP(AA37,Food_Database,2,FALSE)*AB37/convert,)</f>
        <v>178.64</v>
      </c>
      <c r="AD37" s="3"/>
    </row>
    <row r="38" spans="1:30">
      <c r="A38" s="117">
        <v>35</v>
      </c>
      <c r="B38" s="46" t="str">
        <f t="shared" ca="1" si="39"/>
        <v>* BREAD,PITA,WHOLE-WHEAT</v>
      </c>
      <c r="C38" s="105">
        <f t="shared" ca="1" si="40"/>
        <v>64</v>
      </c>
      <c r="D38" s="49">
        <f t="shared" ca="1" si="41"/>
        <v>64</v>
      </c>
      <c r="E38" s="105">
        <f t="shared" ca="1" si="42"/>
        <v>59.702559468438551</v>
      </c>
      <c r="F38" s="105">
        <f t="shared" ca="1" si="43"/>
        <v>32</v>
      </c>
      <c r="G38" s="105">
        <f t="shared" ca="1" si="44"/>
        <v>64</v>
      </c>
      <c r="H38" s="105">
        <f t="shared" ca="1" si="45"/>
        <v>32</v>
      </c>
      <c r="I38" s="41">
        <f t="shared" ca="1" si="46"/>
        <v>170.24</v>
      </c>
      <c r="J38" s="3"/>
      <c r="K38" s="46" t="s">
        <v>220</v>
      </c>
      <c r="L38" s="195">
        <v>64</v>
      </c>
      <c r="M38" s="41">
        <f t="shared" si="47"/>
        <v>170.24</v>
      </c>
      <c r="N38" s="3"/>
      <c r="O38" s="46" t="s">
        <v>220</v>
      </c>
      <c r="P38" s="195">
        <v>64</v>
      </c>
      <c r="Q38" s="41">
        <f t="shared" si="48"/>
        <v>170.24</v>
      </c>
      <c r="R38" s="3"/>
      <c r="S38" s="46" t="s">
        <v>220</v>
      </c>
      <c r="T38" s="195">
        <v>64</v>
      </c>
      <c r="U38" s="41">
        <f t="shared" si="49"/>
        <v>170.24</v>
      </c>
      <c r="V38" s="3"/>
      <c r="W38" s="46" t="s">
        <v>220</v>
      </c>
      <c r="X38" s="195">
        <v>64</v>
      </c>
      <c r="Y38" s="41">
        <f t="shared" si="50"/>
        <v>170.24</v>
      </c>
      <c r="Z38" s="3"/>
      <c r="AA38" s="46" t="s">
        <v>220</v>
      </c>
      <c r="AB38" s="195">
        <v>64</v>
      </c>
      <c r="AC38" s="41">
        <f t="shared" si="51"/>
        <v>170.24</v>
      </c>
      <c r="AD38" s="3"/>
    </row>
    <row r="39" spans="1:30">
      <c r="A39" s="117">
        <v>36</v>
      </c>
      <c r="B39" s="46" t="str">
        <f t="shared" ca="1" si="39"/>
        <v>* APPLESAUCE,UNSWTND</v>
      </c>
      <c r="C39" s="105">
        <f t="shared" ca="1" si="40"/>
        <v>122</v>
      </c>
      <c r="D39" s="49">
        <f t="shared" ca="1" si="41"/>
        <v>122</v>
      </c>
      <c r="E39" s="105">
        <f t="shared" ca="1" si="42"/>
        <v>113.80800398671099</v>
      </c>
      <c r="F39" s="105">
        <f t="shared" ca="1" si="43"/>
        <v>30.5</v>
      </c>
      <c r="G39" s="105">
        <f t="shared" ca="1" si="44"/>
        <v>122</v>
      </c>
      <c r="H39" s="105">
        <f t="shared" ca="1" si="45"/>
        <v>91.5</v>
      </c>
      <c r="I39" s="41">
        <f t="shared" ca="1" si="46"/>
        <v>52.46</v>
      </c>
      <c r="J39" s="3"/>
      <c r="K39" s="46" t="s">
        <v>772</v>
      </c>
      <c r="L39" s="195">
        <v>122</v>
      </c>
      <c r="M39" s="41">
        <f t="shared" si="47"/>
        <v>52.46</v>
      </c>
      <c r="N39" s="3"/>
      <c r="O39" s="46" t="s">
        <v>772</v>
      </c>
      <c r="P39" s="195">
        <v>60</v>
      </c>
      <c r="Q39" s="41">
        <f t="shared" si="48"/>
        <v>25.8</v>
      </c>
      <c r="R39" s="3"/>
      <c r="S39" s="46" t="s">
        <v>772</v>
      </c>
      <c r="T39" s="195">
        <v>122</v>
      </c>
      <c r="U39" s="41">
        <f t="shared" si="49"/>
        <v>52.46</v>
      </c>
      <c r="V39" s="3"/>
      <c r="W39" s="46" t="s">
        <v>772</v>
      </c>
      <c r="X39" s="195">
        <v>122</v>
      </c>
      <c r="Y39" s="41">
        <f t="shared" si="50"/>
        <v>52.46</v>
      </c>
      <c r="Z39" s="3"/>
      <c r="AA39" s="46" t="s">
        <v>772</v>
      </c>
      <c r="AB39" s="195">
        <v>122</v>
      </c>
      <c r="AC39" s="41">
        <f t="shared" si="51"/>
        <v>52.46</v>
      </c>
      <c r="AD39" s="3"/>
    </row>
    <row r="40" spans="1:30">
      <c r="A40" s="117">
        <v>37</v>
      </c>
      <c r="B40" s="46" t="str">
        <f t="shared" ca="1" si="39"/>
        <v>* RASPBERRIES,RAW</v>
      </c>
      <c r="C40" s="105">
        <f t="shared" ca="1" si="40"/>
        <v>107.625</v>
      </c>
      <c r="D40" s="49">
        <f t="shared" ca="1" si="41"/>
        <v>118</v>
      </c>
      <c r="E40" s="105">
        <f t="shared" ca="1" si="42"/>
        <v>110.07659401993358</v>
      </c>
      <c r="F40" s="105">
        <f t="shared" ca="1" si="43"/>
        <v>15.375</v>
      </c>
      <c r="G40" s="105">
        <f t="shared" ca="1" si="44"/>
        <v>123</v>
      </c>
      <c r="H40" s="105">
        <f t="shared" ca="1" si="45"/>
        <v>107.625</v>
      </c>
      <c r="I40" s="41">
        <f t="shared" ca="1" si="46"/>
        <v>55.965000000000003</v>
      </c>
      <c r="J40" s="3"/>
      <c r="K40" s="46" t="s">
        <v>229</v>
      </c>
      <c r="L40" s="195">
        <v>118</v>
      </c>
      <c r="M40" s="41">
        <f t="shared" si="47"/>
        <v>61.36</v>
      </c>
      <c r="N40" s="3"/>
      <c r="O40" s="46" t="s">
        <v>229</v>
      </c>
      <c r="P40" s="195">
        <v>107.625</v>
      </c>
      <c r="Q40" s="41">
        <f t="shared" si="48"/>
        <v>55.965000000000003</v>
      </c>
      <c r="R40" s="3"/>
      <c r="S40" s="46" t="s">
        <v>229</v>
      </c>
      <c r="T40" s="195">
        <v>123</v>
      </c>
      <c r="U40" s="41">
        <f t="shared" si="49"/>
        <v>63.96</v>
      </c>
      <c r="V40" s="3"/>
      <c r="W40" s="46" t="s">
        <v>229</v>
      </c>
      <c r="X40" s="195">
        <v>123</v>
      </c>
      <c r="Y40" s="41">
        <f t="shared" si="50"/>
        <v>63.96</v>
      </c>
      <c r="Z40" s="3"/>
      <c r="AA40" s="46" t="s">
        <v>229</v>
      </c>
      <c r="AB40" s="195">
        <v>123</v>
      </c>
      <c r="AC40" s="41">
        <f t="shared" si="51"/>
        <v>63.96</v>
      </c>
      <c r="AD40" s="3"/>
    </row>
    <row r="41" spans="1:30">
      <c r="A41" s="117">
        <v>38</v>
      </c>
      <c r="B41" s="46" t="str">
        <f t="shared" ca="1" si="39"/>
        <v>* PROTEIN POWDER (SCOOP)</v>
      </c>
      <c r="C41" s="105">
        <f t="shared" ca="1" si="40"/>
        <v>30</v>
      </c>
      <c r="D41" s="49">
        <f t="shared" ca="1" si="41"/>
        <v>30</v>
      </c>
      <c r="E41" s="105">
        <f t="shared" ca="1" si="42"/>
        <v>27.985574750830573</v>
      </c>
      <c r="F41" s="105">
        <f t="shared" ca="1" si="43"/>
        <v>7.5</v>
      </c>
      <c r="G41" s="105">
        <f t="shared" ca="1" si="44"/>
        <v>30</v>
      </c>
      <c r="H41" s="105">
        <f t="shared" ca="1" si="45"/>
        <v>22.5</v>
      </c>
      <c r="I41" s="41">
        <f t="shared" ca="1" si="46"/>
        <v>120</v>
      </c>
      <c r="J41" s="3"/>
      <c r="K41" s="46" t="s">
        <v>469</v>
      </c>
      <c r="L41" s="195">
        <v>30</v>
      </c>
      <c r="M41" s="41">
        <f t="shared" si="47"/>
        <v>120</v>
      </c>
      <c r="N41" s="3"/>
      <c r="O41" s="46" t="s">
        <v>469</v>
      </c>
      <c r="P41" s="195">
        <v>30</v>
      </c>
      <c r="Q41" s="41">
        <f t="shared" si="48"/>
        <v>120</v>
      </c>
      <c r="R41" s="3"/>
      <c r="S41" s="46" t="s">
        <v>469</v>
      </c>
      <c r="T41" s="195">
        <v>30</v>
      </c>
      <c r="U41" s="41">
        <f t="shared" si="49"/>
        <v>120</v>
      </c>
      <c r="V41" s="3"/>
      <c r="W41" s="46" t="s">
        <v>469</v>
      </c>
      <c r="X41" s="195">
        <v>30</v>
      </c>
      <c r="Y41" s="41">
        <f t="shared" si="50"/>
        <v>120</v>
      </c>
      <c r="Z41" s="3"/>
      <c r="AA41" s="46" t="s">
        <v>469</v>
      </c>
      <c r="AB41" s="195">
        <v>30</v>
      </c>
      <c r="AC41" s="41">
        <f t="shared" si="51"/>
        <v>120</v>
      </c>
      <c r="AD41" s="3"/>
    </row>
    <row r="42" spans="1:30">
      <c r="A42" s="117">
        <v>39</v>
      </c>
      <c r="B42" s="46">
        <f t="shared" ca="1" si="39"/>
        <v>0</v>
      </c>
      <c r="C42" s="105">
        <f t="shared" ca="1" si="40"/>
        <v>0</v>
      </c>
      <c r="D42" s="49">
        <f t="shared" ca="1" si="41"/>
        <v>0</v>
      </c>
      <c r="E42" s="105">
        <f t="shared" ca="1" si="42"/>
        <v>0</v>
      </c>
      <c r="F42" s="105">
        <f t="shared" ca="1" si="43"/>
        <v>0</v>
      </c>
      <c r="G42" s="105">
        <f t="shared" ca="1" si="44"/>
        <v>0</v>
      </c>
      <c r="H42" s="105">
        <f t="shared" ca="1" si="45"/>
        <v>0</v>
      </c>
      <c r="I42" s="41">
        <f t="shared" ca="1" si="46"/>
        <v>0</v>
      </c>
      <c r="J42" s="3"/>
      <c r="K42" s="46"/>
      <c r="L42" s="52"/>
      <c r="M42" s="41">
        <f t="shared" si="47"/>
        <v>0</v>
      </c>
      <c r="N42" s="3"/>
      <c r="O42" s="46"/>
      <c r="P42" s="52"/>
      <c r="Q42" s="41">
        <f t="shared" si="48"/>
        <v>0</v>
      </c>
      <c r="R42" s="3"/>
      <c r="S42" s="46"/>
      <c r="T42" s="52"/>
      <c r="U42" s="41">
        <f t="shared" si="49"/>
        <v>0</v>
      </c>
      <c r="V42" s="3"/>
      <c r="W42" s="46"/>
      <c r="X42" s="52"/>
      <c r="Y42" s="41">
        <f t="shared" si="50"/>
        <v>0</v>
      </c>
      <c r="Z42" s="3"/>
      <c r="AA42" s="46"/>
      <c r="AB42" s="52"/>
      <c r="AC42" s="41">
        <f t="shared" si="51"/>
        <v>0</v>
      </c>
      <c r="AD42" s="3"/>
    </row>
    <row r="43" spans="1:30" ht="13.5" thickBot="1">
      <c r="A43" s="117">
        <v>40</v>
      </c>
      <c r="B43" s="47">
        <f t="shared" ca="1" si="39"/>
        <v>0</v>
      </c>
      <c r="C43" s="106">
        <f t="shared" ca="1" si="40"/>
        <v>0</v>
      </c>
      <c r="D43" s="50">
        <f t="shared" ca="1" si="41"/>
        <v>0</v>
      </c>
      <c r="E43" s="106">
        <f t="shared" ca="1" si="42"/>
        <v>0</v>
      </c>
      <c r="F43" s="106">
        <f t="shared" ca="1" si="43"/>
        <v>0</v>
      </c>
      <c r="G43" s="106">
        <f t="shared" ca="1" si="44"/>
        <v>0</v>
      </c>
      <c r="H43" s="106">
        <f t="shared" ca="1" si="45"/>
        <v>0</v>
      </c>
      <c r="I43" s="44">
        <f t="shared" ca="1" si="46"/>
        <v>0</v>
      </c>
      <c r="J43" s="3"/>
      <c r="K43" s="47"/>
      <c r="L43" s="53"/>
      <c r="M43" s="44">
        <f t="shared" si="47"/>
        <v>0</v>
      </c>
      <c r="N43" s="3"/>
      <c r="O43" s="47"/>
      <c r="P43" s="53"/>
      <c r="Q43" s="44">
        <f t="shared" si="48"/>
        <v>0</v>
      </c>
      <c r="R43" s="3"/>
      <c r="S43" s="47"/>
      <c r="T43" s="53"/>
      <c r="U43" s="44">
        <f t="shared" si="49"/>
        <v>0</v>
      </c>
      <c r="V43" s="3"/>
      <c r="W43" s="47"/>
      <c r="X43" s="53"/>
      <c r="Y43" s="44">
        <f t="shared" si="50"/>
        <v>0</v>
      </c>
      <c r="Z43" s="3"/>
      <c r="AA43" s="47"/>
      <c r="AB43" s="53"/>
      <c r="AC43" s="44">
        <f t="shared" si="51"/>
        <v>0</v>
      </c>
      <c r="AD43" s="3"/>
    </row>
    <row r="44" spans="1:30" ht="13.5" thickBot="1">
      <c r="A44" s="117">
        <v>41</v>
      </c>
      <c r="B44" s="77" t="s">
        <v>268</v>
      </c>
      <c r="C44" s="3"/>
      <c r="D44" s="3"/>
      <c r="E44" s="3"/>
      <c r="F44" s="3"/>
      <c r="G44" s="3"/>
      <c r="H44" s="3"/>
      <c r="I44" s="3"/>
      <c r="J44" s="3"/>
      <c r="K44" s="77" t="s">
        <v>268</v>
      </c>
      <c r="L44" s="3"/>
      <c r="M44" s="3"/>
      <c r="N44" s="3"/>
      <c r="O44" s="77" t="s">
        <v>268</v>
      </c>
      <c r="P44" s="3"/>
      <c r="Q44" s="3"/>
      <c r="R44" s="3"/>
      <c r="S44" s="77" t="s">
        <v>268</v>
      </c>
      <c r="T44" s="3"/>
      <c r="U44" s="3"/>
      <c r="V44" s="3"/>
      <c r="W44" s="77" t="s">
        <v>268</v>
      </c>
      <c r="X44" s="3"/>
      <c r="Y44" s="3"/>
      <c r="Z44" s="3"/>
      <c r="AA44" s="77" t="s">
        <v>268</v>
      </c>
      <c r="AB44" s="3"/>
      <c r="AC44" s="3"/>
      <c r="AD44" s="3"/>
    </row>
    <row r="45" spans="1:30" ht="14.25" thickTop="1" thickBot="1">
      <c r="A45" s="117">
        <v>42</v>
      </c>
      <c r="B45" s="114"/>
      <c r="C45" s="79"/>
      <c r="D45" s="79" t="s">
        <v>1271</v>
      </c>
      <c r="E45" s="79"/>
      <c r="F45" s="79"/>
      <c r="G45" s="79"/>
      <c r="H45" s="79"/>
      <c r="I45" s="81">
        <f ca="1">SUM(I48:I54)</f>
        <v>574.28250000000003</v>
      </c>
      <c r="J45" s="3"/>
      <c r="K45" s="114"/>
      <c r="L45" s="79" t="s">
        <v>1271</v>
      </c>
      <c r="M45" s="81">
        <f>SUM(M48:M54)</f>
        <v>564.15</v>
      </c>
      <c r="N45" s="3"/>
      <c r="O45" s="114"/>
      <c r="P45" s="79" t="s">
        <v>1271</v>
      </c>
      <c r="Q45" s="81">
        <f>SUM(Q48:Q54)</f>
        <v>603.23125000000005</v>
      </c>
      <c r="R45" s="3"/>
      <c r="S45" s="114"/>
      <c r="T45" s="79" t="s">
        <v>1271</v>
      </c>
      <c r="U45" s="81">
        <f>SUM(U48:U54)</f>
        <v>540.03</v>
      </c>
      <c r="V45" s="3"/>
      <c r="W45" s="114"/>
      <c r="X45" s="79" t="s">
        <v>1271</v>
      </c>
      <c r="Y45" s="81">
        <f>SUM(Y48:Y54)</f>
        <v>564.15</v>
      </c>
      <c r="Z45" s="3"/>
      <c r="AA45" s="114"/>
      <c r="AB45" s="79" t="s">
        <v>1271</v>
      </c>
      <c r="AC45" s="81">
        <f>SUM(AC48:AC54)</f>
        <v>492.63125000000002</v>
      </c>
      <c r="AD45" s="3"/>
    </row>
    <row r="46" spans="1:30" ht="13.5" thickBot="1">
      <c r="A46" s="117">
        <v>43</v>
      </c>
      <c r="B46" s="82" t="s">
        <v>1484</v>
      </c>
      <c r="C46" s="83"/>
      <c r="D46" s="83" t="s">
        <v>1270</v>
      </c>
      <c r="E46" s="83"/>
      <c r="F46" s="83"/>
      <c r="G46" s="83"/>
      <c r="H46" s="83"/>
      <c r="I46" s="83"/>
      <c r="J46" s="3"/>
      <c r="K46" s="82" t="s">
        <v>1484</v>
      </c>
      <c r="L46" s="83" t="s">
        <v>1270</v>
      </c>
      <c r="M46" s="83"/>
      <c r="N46" s="3"/>
      <c r="O46" s="82" t="s">
        <v>1484</v>
      </c>
      <c r="P46" s="83" t="s">
        <v>1270</v>
      </c>
      <c r="Q46" s="83"/>
      <c r="R46" s="3"/>
      <c r="S46" s="82" t="s">
        <v>1484</v>
      </c>
      <c r="T46" s="83" t="s">
        <v>1270</v>
      </c>
      <c r="U46" s="83"/>
      <c r="V46" s="3"/>
      <c r="W46" s="82" t="s">
        <v>1484</v>
      </c>
      <c r="X46" s="83" t="s">
        <v>1270</v>
      </c>
      <c r="Y46" s="83"/>
      <c r="Z46" s="3"/>
      <c r="AA46" s="82" t="s">
        <v>1484</v>
      </c>
      <c r="AB46" s="83" t="s">
        <v>1270</v>
      </c>
      <c r="AC46" s="83"/>
      <c r="AD46" s="3"/>
    </row>
    <row r="47" spans="1:30" ht="13.5" thickBot="1">
      <c r="A47" s="117">
        <v>44</v>
      </c>
      <c r="B47" s="16" t="s">
        <v>1269</v>
      </c>
      <c r="C47" s="37"/>
      <c r="D47" s="37" t="str">
        <f>PROPER(units)</f>
        <v>Grams</v>
      </c>
      <c r="E47" s="37"/>
      <c r="F47" s="37"/>
      <c r="G47" s="37"/>
      <c r="H47" s="37"/>
      <c r="I47" s="36" t="s">
        <v>1474</v>
      </c>
      <c r="J47" s="3"/>
      <c r="K47" s="16" t="s">
        <v>1269</v>
      </c>
      <c r="L47" s="37" t="str">
        <f>PROPER(units)</f>
        <v>Grams</v>
      </c>
      <c r="M47" s="36" t="s">
        <v>1474</v>
      </c>
      <c r="N47" s="3"/>
      <c r="O47" s="16" t="s">
        <v>1269</v>
      </c>
      <c r="P47" s="37" t="str">
        <f>PROPER(units)</f>
        <v>Grams</v>
      </c>
      <c r="Q47" s="36" t="s">
        <v>1474</v>
      </c>
      <c r="R47" s="3"/>
      <c r="S47" s="16" t="s">
        <v>1269</v>
      </c>
      <c r="T47" s="37" t="str">
        <f>PROPER(units)</f>
        <v>Grams</v>
      </c>
      <c r="U47" s="36" t="s">
        <v>1474</v>
      </c>
      <c r="V47" s="3"/>
      <c r="W47" s="16" t="s">
        <v>1269</v>
      </c>
      <c r="X47" s="37" t="str">
        <f>PROPER(units)</f>
        <v>Grams</v>
      </c>
      <c r="Y47" s="36" t="s">
        <v>1474</v>
      </c>
      <c r="Z47" s="3"/>
      <c r="AA47" s="16" t="s">
        <v>1269</v>
      </c>
      <c r="AB47" s="37" t="str">
        <f>PROPER(units)</f>
        <v>Grams</v>
      </c>
      <c r="AC47" s="36" t="s">
        <v>1474</v>
      </c>
      <c r="AD47" s="3"/>
    </row>
    <row r="48" spans="1:30">
      <c r="A48" s="117">
        <v>45</v>
      </c>
      <c r="B48" s="45" t="str">
        <f t="shared" ref="B48:B54" ca="1" si="52">INDEX(INDIRECT(Body.db),A48,1)</f>
        <v>* SWEET POTATO,RAW</v>
      </c>
      <c r="C48" s="104">
        <f t="shared" ref="C48:C54" ca="1" si="53">IF(B48&gt;0,IF(G48-E48&gt;E48-H48,H48,G48),)</f>
        <v>227.5</v>
      </c>
      <c r="D48" s="48">
        <f t="shared" ref="D48:D54" ca="1" si="54">INDEX(INDIRECT(VLOOKUP(Body.type,Body_type,5,FALSE)),A48,2)</f>
        <v>260</v>
      </c>
      <c r="E48" s="104">
        <f t="shared" ref="E48:E54" ca="1" si="55">IF(B48&gt;0,D48*$J$4,)</f>
        <v>242.54164784053162</v>
      </c>
      <c r="F48" s="104">
        <f t="shared" ref="F48:F54" ca="1" si="56">IF(B48&gt;0,VLOOKUP(B48,Food_Database,9,FALSE),)</f>
        <v>32.5</v>
      </c>
      <c r="G48" s="104">
        <f t="shared" ref="G48:G54" ca="1" si="57">IF(B48&gt;0,CEILING(E48,F48),)</f>
        <v>260</v>
      </c>
      <c r="H48" s="104">
        <f t="shared" ref="H48:H54" ca="1" si="58">IF(B48&gt;0,FLOOR(E48,F48),)</f>
        <v>227.5</v>
      </c>
      <c r="I48" s="41">
        <f t="shared" ref="I48:I54" ca="1" si="59">IF(B48&gt;0,VLOOKUP(B48,Food_Database,2,FALSE)*C48/convert,)</f>
        <v>195.65</v>
      </c>
      <c r="J48" s="3"/>
      <c r="K48" s="45" t="s">
        <v>248</v>
      </c>
      <c r="L48" s="194">
        <v>260</v>
      </c>
      <c r="M48" s="41">
        <f t="shared" ref="M48:M54" si="60">IF(K48&gt;0,VLOOKUP(K48,Food_Database,2,FALSE)*L48/convert,)</f>
        <v>223.6</v>
      </c>
      <c r="N48" s="3"/>
      <c r="O48" s="45" t="s">
        <v>248</v>
      </c>
      <c r="P48" s="194">
        <v>260</v>
      </c>
      <c r="Q48" s="41">
        <f t="shared" ref="Q48:Q54" si="61">IF(O48&gt;0,VLOOKUP(O48,Food_Database,2,FALSE)*P48/convert,)</f>
        <v>223.6</v>
      </c>
      <c r="R48" s="3"/>
      <c r="S48" s="45" t="s">
        <v>248</v>
      </c>
      <c r="T48" s="194">
        <v>130</v>
      </c>
      <c r="U48" s="41">
        <f t="shared" ref="U48:U54" si="62">IF(S48&gt;0,VLOOKUP(S48,Food_Database,2,FALSE)*T48/convert,)</f>
        <v>111.8</v>
      </c>
      <c r="V48" s="3"/>
      <c r="W48" s="45" t="s">
        <v>248</v>
      </c>
      <c r="X48" s="194">
        <v>260</v>
      </c>
      <c r="Y48" s="41">
        <f t="shared" ref="Y48:Y54" si="63">IF(W48&gt;0,VLOOKUP(W48,Food_Database,2,FALSE)*X48/convert,)</f>
        <v>223.6</v>
      </c>
      <c r="Z48" s="3"/>
      <c r="AA48" s="45" t="s">
        <v>248</v>
      </c>
      <c r="AB48" s="194">
        <v>130</v>
      </c>
      <c r="AC48" s="41">
        <f t="shared" ref="AC48:AC54" si="64">IF(AA48&gt;0,VLOOKUP(AA48,Food_Database,2,FALSE)*AB48/convert,)</f>
        <v>111.8</v>
      </c>
      <c r="AD48" s="3"/>
    </row>
    <row r="49" spans="1:30">
      <c r="A49" s="117">
        <v>46</v>
      </c>
      <c r="B49" s="46" t="str">
        <f t="shared" ca="1" si="52"/>
        <v>* ASPARAGUS,RAW</v>
      </c>
      <c r="C49" s="105">
        <f t="shared" ca="1" si="53"/>
        <v>114</v>
      </c>
      <c r="D49" s="49">
        <f t="shared" ca="1" si="54"/>
        <v>120</v>
      </c>
      <c r="E49" s="105">
        <f t="shared" ca="1" si="55"/>
        <v>111.94229900332229</v>
      </c>
      <c r="F49" s="105">
        <f t="shared" ca="1" si="56"/>
        <v>6</v>
      </c>
      <c r="G49" s="105">
        <f t="shared" ca="1" si="57"/>
        <v>114</v>
      </c>
      <c r="H49" s="105">
        <f t="shared" ca="1" si="58"/>
        <v>108</v>
      </c>
      <c r="I49" s="41">
        <f t="shared" ca="1" si="59"/>
        <v>22.8</v>
      </c>
      <c r="J49" s="3"/>
      <c r="K49" s="46" t="s">
        <v>237</v>
      </c>
      <c r="L49" s="195">
        <v>120</v>
      </c>
      <c r="M49" s="41">
        <f t="shared" si="60"/>
        <v>24</v>
      </c>
      <c r="N49" s="3"/>
      <c r="O49" s="46" t="s">
        <v>237</v>
      </c>
      <c r="P49" s="195">
        <v>114</v>
      </c>
      <c r="Q49" s="41">
        <f t="shared" si="61"/>
        <v>22.8</v>
      </c>
      <c r="R49" s="3"/>
      <c r="S49" s="46" t="s">
        <v>237</v>
      </c>
      <c r="T49" s="195">
        <v>120</v>
      </c>
      <c r="U49" s="41">
        <f t="shared" si="62"/>
        <v>24</v>
      </c>
      <c r="V49" s="3"/>
      <c r="W49" s="46" t="s">
        <v>237</v>
      </c>
      <c r="X49" s="195">
        <v>120</v>
      </c>
      <c r="Y49" s="41">
        <f t="shared" si="63"/>
        <v>24</v>
      </c>
      <c r="Z49" s="3"/>
      <c r="AA49" s="46" t="s">
        <v>237</v>
      </c>
      <c r="AB49" s="195">
        <v>120</v>
      </c>
      <c r="AC49" s="41">
        <f t="shared" si="64"/>
        <v>24</v>
      </c>
      <c r="AD49" s="3"/>
    </row>
    <row r="50" spans="1:30">
      <c r="A50" s="117">
        <v>47</v>
      </c>
      <c r="B50" s="46" t="str">
        <f t="shared" ca="1" si="52"/>
        <v>* LETTUCE,COS OR ROMAINE,RAW</v>
      </c>
      <c r="C50" s="105">
        <f t="shared" ca="1" si="53"/>
        <v>82.25</v>
      </c>
      <c r="D50" s="49">
        <f t="shared" ca="1" si="54"/>
        <v>90</v>
      </c>
      <c r="E50" s="105">
        <f t="shared" ca="1" si="55"/>
        <v>83.956724252491711</v>
      </c>
      <c r="F50" s="105">
        <f t="shared" ca="1" si="56"/>
        <v>5.875</v>
      </c>
      <c r="G50" s="105">
        <f t="shared" ca="1" si="57"/>
        <v>88.125</v>
      </c>
      <c r="H50" s="105">
        <f t="shared" ca="1" si="58"/>
        <v>82.25</v>
      </c>
      <c r="I50" s="41">
        <f t="shared" ca="1" si="59"/>
        <v>13.9825</v>
      </c>
      <c r="J50" s="3"/>
      <c r="K50" s="46" t="s">
        <v>243</v>
      </c>
      <c r="L50" s="195">
        <v>90</v>
      </c>
      <c r="M50" s="41">
        <f t="shared" si="60"/>
        <v>15.3</v>
      </c>
      <c r="N50" s="3"/>
      <c r="O50" s="46" t="s">
        <v>243</v>
      </c>
      <c r="P50" s="195">
        <v>88.125</v>
      </c>
      <c r="Q50" s="41">
        <f t="shared" si="61"/>
        <v>14.981249999999999</v>
      </c>
      <c r="R50" s="3"/>
      <c r="S50" s="46" t="s">
        <v>243</v>
      </c>
      <c r="T50" s="195">
        <v>94</v>
      </c>
      <c r="U50" s="41">
        <f t="shared" si="62"/>
        <v>15.98</v>
      </c>
      <c r="V50" s="3"/>
      <c r="W50" s="46" t="s">
        <v>243</v>
      </c>
      <c r="X50" s="195">
        <v>90</v>
      </c>
      <c r="Y50" s="41">
        <f t="shared" si="63"/>
        <v>15.3</v>
      </c>
      <c r="Z50" s="3"/>
      <c r="AA50" s="46" t="s">
        <v>243</v>
      </c>
      <c r="AB50" s="195">
        <v>88.125</v>
      </c>
      <c r="AC50" s="41">
        <f t="shared" si="64"/>
        <v>14.981249999999999</v>
      </c>
      <c r="AD50" s="3"/>
    </row>
    <row r="51" spans="1:30">
      <c r="A51" s="117">
        <v>48</v>
      </c>
      <c r="B51" s="46" t="str">
        <f t="shared" ca="1" si="52"/>
        <v>* SALAD DRSNG,ITALIAN RED FAT</v>
      </c>
      <c r="C51" s="105">
        <f t="shared" ca="1" si="53"/>
        <v>15</v>
      </c>
      <c r="D51" s="49">
        <f t="shared" ca="1" si="54"/>
        <v>15</v>
      </c>
      <c r="E51" s="105">
        <f t="shared" ca="1" si="55"/>
        <v>13.992787375415286</v>
      </c>
      <c r="F51" s="105">
        <f t="shared" ca="1" si="56"/>
        <v>7.5</v>
      </c>
      <c r="G51" s="105">
        <f t="shared" ca="1" si="57"/>
        <v>15</v>
      </c>
      <c r="H51" s="105">
        <f t="shared" ca="1" si="58"/>
        <v>7.5</v>
      </c>
      <c r="I51" s="41">
        <f t="shared" ca="1" si="59"/>
        <v>11.25</v>
      </c>
      <c r="J51" s="3"/>
      <c r="K51" s="46" t="s">
        <v>386</v>
      </c>
      <c r="L51" s="195">
        <v>15</v>
      </c>
      <c r="M51" s="41">
        <f t="shared" si="60"/>
        <v>11.25</v>
      </c>
      <c r="N51" s="3"/>
      <c r="O51" s="46" t="s">
        <v>386</v>
      </c>
      <c r="P51" s="195">
        <v>15</v>
      </c>
      <c r="Q51" s="41">
        <f t="shared" si="61"/>
        <v>11.25</v>
      </c>
      <c r="R51" s="3"/>
      <c r="S51" s="46" t="s">
        <v>386</v>
      </c>
      <c r="T51" s="195">
        <v>15</v>
      </c>
      <c r="U51" s="41">
        <f t="shared" si="62"/>
        <v>11.25</v>
      </c>
      <c r="V51" s="3"/>
      <c r="W51" s="46" t="s">
        <v>386</v>
      </c>
      <c r="X51" s="195">
        <v>15</v>
      </c>
      <c r="Y51" s="41">
        <f t="shared" si="63"/>
        <v>11.25</v>
      </c>
      <c r="Z51" s="3"/>
      <c r="AA51" s="46" t="s">
        <v>386</v>
      </c>
      <c r="AB51" s="195">
        <v>15</v>
      </c>
      <c r="AC51" s="41">
        <f t="shared" si="64"/>
        <v>11.25</v>
      </c>
      <c r="AD51" s="3"/>
    </row>
    <row r="52" spans="1:30">
      <c r="A52" s="117">
        <v>49</v>
      </c>
      <c r="B52" s="46" t="str">
        <f t="shared" ca="1" si="52"/>
        <v>BEEF,T-BONE,RAW</v>
      </c>
      <c r="C52" s="105">
        <f t="shared" ca="1" si="53"/>
        <v>228</v>
      </c>
      <c r="D52" s="49">
        <f t="shared" ca="1" si="54"/>
        <v>200</v>
      </c>
      <c r="E52" s="105">
        <f t="shared" ca="1" si="55"/>
        <v>186.57049833887046</v>
      </c>
      <c r="F52" s="105">
        <f t="shared" ca="1" si="56"/>
        <v>114</v>
      </c>
      <c r="G52" s="105">
        <f t="shared" ca="1" si="57"/>
        <v>228</v>
      </c>
      <c r="H52" s="105">
        <f t="shared" ca="1" si="58"/>
        <v>114</v>
      </c>
      <c r="I52" s="41">
        <f t="shared" ca="1" si="59"/>
        <v>330.6</v>
      </c>
      <c r="J52" s="3"/>
      <c r="K52" s="46" t="s">
        <v>832</v>
      </c>
      <c r="L52" s="195">
        <v>200</v>
      </c>
      <c r="M52" s="41">
        <f t="shared" si="60"/>
        <v>290</v>
      </c>
      <c r="N52" s="3"/>
      <c r="O52" s="46" t="s">
        <v>832</v>
      </c>
      <c r="P52" s="195">
        <v>228</v>
      </c>
      <c r="Q52" s="41">
        <f t="shared" si="61"/>
        <v>330.6</v>
      </c>
      <c r="R52" s="3"/>
      <c r="S52" s="46" t="s">
        <v>832</v>
      </c>
      <c r="T52" s="195">
        <v>260</v>
      </c>
      <c r="U52" s="41">
        <f t="shared" si="62"/>
        <v>377</v>
      </c>
      <c r="V52" s="3"/>
      <c r="W52" s="46" t="s">
        <v>832</v>
      </c>
      <c r="X52" s="195">
        <v>200</v>
      </c>
      <c r="Y52" s="41">
        <f t="shared" si="63"/>
        <v>290</v>
      </c>
      <c r="Z52" s="3"/>
      <c r="AA52" s="46" t="s">
        <v>832</v>
      </c>
      <c r="AB52" s="195">
        <v>228</v>
      </c>
      <c r="AC52" s="41">
        <f t="shared" si="64"/>
        <v>330.6</v>
      </c>
      <c r="AD52" s="3"/>
    </row>
    <row r="53" spans="1:30">
      <c r="A53" s="117">
        <v>50</v>
      </c>
      <c r="B53" s="46">
        <f t="shared" ca="1" si="52"/>
        <v>0</v>
      </c>
      <c r="C53" s="105">
        <f t="shared" ca="1" si="53"/>
        <v>0</v>
      </c>
      <c r="D53" s="49">
        <f t="shared" ca="1" si="54"/>
        <v>0</v>
      </c>
      <c r="E53" s="105">
        <f t="shared" ca="1" si="55"/>
        <v>0</v>
      </c>
      <c r="F53" s="105">
        <f t="shared" ca="1" si="56"/>
        <v>0</v>
      </c>
      <c r="G53" s="105">
        <f t="shared" ca="1" si="57"/>
        <v>0</v>
      </c>
      <c r="H53" s="105">
        <f t="shared" ca="1" si="58"/>
        <v>0</v>
      </c>
      <c r="I53" s="41">
        <f t="shared" ca="1" si="59"/>
        <v>0</v>
      </c>
      <c r="J53" s="3"/>
      <c r="K53" s="46"/>
      <c r="L53" s="52"/>
      <c r="M53" s="41">
        <f t="shared" si="60"/>
        <v>0</v>
      </c>
      <c r="N53" s="3"/>
      <c r="O53" s="46"/>
      <c r="P53" s="52"/>
      <c r="Q53" s="41">
        <f t="shared" si="61"/>
        <v>0</v>
      </c>
      <c r="R53" s="3"/>
      <c r="S53" s="46"/>
      <c r="T53" s="52"/>
      <c r="U53" s="41">
        <f t="shared" si="62"/>
        <v>0</v>
      </c>
      <c r="V53" s="3"/>
      <c r="W53" s="46"/>
      <c r="X53" s="52"/>
      <c r="Y53" s="41">
        <f t="shared" si="63"/>
        <v>0</v>
      </c>
      <c r="Z53" s="3"/>
      <c r="AA53" s="46"/>
      <c r="AB53" s="52"/>
      <c r="AC53" s="41">
        <f t="shared" si="64"/>
        <v>0</v>
      </c>
      <c r="AD53" s="3"/>
    </row>
    <row r="54" spans="1:30" ht="13.5" thickBot="1">
      <c r="A54" s="117">
        <v>51</v>
      </c>
      <c r="B54" s="47">
        <f t="shared" ca="1" si="52"/>
        <v>0</v>
      </c>
      <c r="C54" s="106">
        <f t="shared" ca="1" si="53"/>
        <v>0</v>
      </c>
      <c r="D54" s="50">
        <f t="shared" ca="1" si="54"/>
        <v>0</v>
      </c>
      <c r="E54" s="106">
        <f t="shared" ca="1" si="55"/>
        <v>0</v>
      </c>
      <c r="F54" s="106">
        <f t="shared" ca="1" si="56"/>
        <v>0</v>
      </c>
      <c r="G54" s="106">
        <f t="shared" ca="1" si="57"/>
        <v>0</v>
      </c>
      <c r="H54" s="106">
        <f t="shared" ca="1" si="58"/>
        <v>0</v>
      </c>
      <c r="I54" s="44">
        <f t="shared" ca="1" si="59"/>
        <v>0</v>
      </c>
      <c r="J54" s="3"/>
      <c r="K54" s="47"/>
      <c r="L54" s="53"/>
      <c r="M54" s="44">
        <f t="shared" si="60"/>
        <v>0</v>
      </c>
      <c r="N54" s="3"/>
      <c r="O54" s="47"/>
      <c r="P54" s="53"/>
      <c r="Q54" s="44">
        <f t="shared" si="61"/>
        <v>0</v>
      </c>
      <c r="R54" s="3"/>
      <c r="S54" s="47"/>
      <c r="T54" s="53"/>
      <c r="U54" s="44">
        <f t="shared" si="62"/>
        <v>0</v>
      </c>
      <c r="V54" s="3"/>
      <c r="W54" s="47"/>
      <c r="X54" s="53"/>
      <c r="Y54" s="44">
        <f t="shared" si="63"/>
        <v>0</v>
      </c>
      <c r="Z54" s="3"/>
      <c r="AA54" s="47"/>
      <c r="AB54" s="53"/>
      <c r="AC54" s="44">
        <f t="shared" si="64"/>
        <v>0</v>
      </c>
      <c r="AD54" s="3"/>
    </row>
    <row r="55" spans="1:30" ht="13.5" thickBot="1">
      <c r="A55" s="117">
        <v>52</v>
      </c>
      <c r="B55" s="77" t="s">
        <v>268</v>
      </c>
      <c r="C55" s="3"/>
      <c r="D55" s="3"/>
      <c r="E55" s="3"/>
      <c r="F55" s="3"/>
      <c r="G55" s="3"/>
      <c r="H55" s="3"/>
      <c r="I55" s="3"/>
      <c r="J55" s="3"/>
      <c r="K55" s="77" t="s">
        <v>268</v>
      </c>
      <c r="L55" s="3"/>
      <c r="M55" s="3"/>
      <c r="N55" s="3"/>
      <c r="O55" s="77" t="s">
        <v>268</v>
      </c>
      <c r="P55" s="3"/>
      <c r="Q55" s="3"/>
      <c r="R55" s="3"/>
      <c r="S55" s="77" t="s">
        <v>268</v>
      </c>
      <c r="T55" s="3"/>
      <c r="U55" s="3"/>
      <c r="V55" s="3"/>
      <c r="W55" s="77" t="s">
        <v>268</v>
      </c>
      <c r="X55" s="3"/>
      <c r="Y55" s="3"/>
      <c r="Z55" s="3"/>
      <c r="AA55" s="77" t="s">
        <v>268</v>
      </c>
      <c r="AB55" s="3"/>
      <c r="AC55" s="3"/>
      <c r="AD55" s="3"/>
    </row>
    <row r="56" spans="1:30" ht="14.25" thickTop="1" thickBot="1">
      <c r="A56" s="117">
        <v>53</v>
      </c>
      <c r="B56" s="78"/>
      <c r="C56" s="79"/>
      <c r="D56" s="79" t="s">
        <v>1271</v>
      </c>
      <c r="E56" s="79"/>
      <c r="F56" s="79"/>
      <c r="G56" s="79"/>
      <c r="H56" s="79"/>
      <c r="I56" s="81">
        <f ca="1">SUM(I59:I65)</f>
        <v>581.44000000000005</v>
      </c>
      <c r="J56" s="3"/>
      <c r="K56" s="78"/>
      <c r="L56" s="79" t="s">
        <v>1271</v>
      </c>
      <c r="M56" s="81">
        <f>SUM(M59:M65)</f>
        <v>581.44000000000005</v>
      </c>
      <c r="N56" s="3"/>
      <c r="O56" s="78"/>
      <c r="P56" s="79" t="s">
        <v>1271</v>
      </c>
      <c r="Q56" s="81">
        <f>SUM(Q59:Q65)</f>
        <v>581.44000000000005</v>
      </c>
      <c r="R56" s="3"/>
      <c r="S56" s="78"/>
      <c r="T56" s="79" t="s">
        <v>1271</v>
      </c>
      <c r="U56" s="81">
        <f>SUM(U59:U65)</f>
        <v>581.44000000000005</v>
      </c>
      <c r="V56" s="3"/>
      <c r="W56" s="78"/>
      <c r="X56" s="79" t="s">
        <v>1271</v>
      </c>
      <c r="Y56" s="81">
        <f>SUM(Y59:Y65)</f>
        <v>581.44000000000005</v>
      </c>
      <c r="Z56" s="3"/>
      <c r="AA56" s="78"/>
      <c r="AB56" s="79" t="s">
        <v>1271</v>
      </c>
      <c r="AC56" s="81">
        <f>SUM(AC59:AC65)</f>
        <v>527.1400000000001</v>
      </c>
      <c r="AD56" s="3"/>
    </row>
    <row r="57" spans="1:30" ht="13.5" thickBot="1">
      <c r="A57" s="117">
        <v>54</v>
      </c>
      <c r="B57" s="82" t="s">
        <v>202</v>
      </c>
      <c r="C57" s="83"/>
      <c r="D57" s="83" t="s">
        <v>1270</v>
      </c>
      <c r="E57" s="83"/>
      <c r="F57" s="83"/>
      <c r="G57" s="83"/>
      <c r="H57" s="83"/>
      <c r="I57" s="83"/>
      <c r="J57" s="3"/>
      <c r="K57" s="82" t="s">
        <v>1481</v>
      </c>
      <c r="L57" s="83" t="s">
        <v>1270</v>
      </c>
      <c r="M57" s="83"/>
      <c r="N57" s="3"/>
      <c r="O57" s="82" t="s">
        <v>1481</v>
      </c>
      <c r="P57" s="83" t="s">
        <v>1270</v>
      </c>
      <c r="Q57" s="83"/>
      <c r="R57" s="3"/>
      <c r="S57" s="82" t="s">
        <v>1481</v>
      </c>
      <c r="T57" s="83" t="s">
        <v>1270</v>
      </c>
      <c r="U57" s="83"/>
      <c r="V57" s="3"/>
      <c r="W57" s="82" t="s">
        <v>1481</v>
      </c>
      <c r="X57" s="83" t="s">
        <v>1270</v>
      </c>
      <c r="Y57" s="83"/>
      <c r="Z57" s="3"/>
      <c r="AA57" s="82" t="s">
        <v>1481</v>
      </c>
      <c r="AB57" s="83" t="s">
        <v>1270</v>
      </c>
      <c r="AC57" s="83"/>
      <c r="AD57" s="3"/>
    </row>
    <row r="58" spans="1:30" ht="13.5" thickBot="1">
      <c r="A58" s="117">
        <v>55</v>
      </c>
      <c r="B58" s="16" t="s">
        <v>1269</v>
      </c>
      <c r="C58" s="37"/>
      <c r="D58" s="37" t="str">
        <f>PROPER(units)</f>
        <v>Grams</v>
      </c>
      <c r="E58" s="37"/>
      <c r="F58" s="37"/>
      <c r="G58" s="37"/>
      <c r="H58" s="37"/>
      <c r="I58" s="36" t="s">
        <v>1474</v>
      </c>
      <c r="J58" s="3"/>
      <c r="K58" s="16" t="s">
        <v>1269</v>
      </c>
      <c r="L58" s="37" t="str">
        <f>PROPER(units)</f>
        <v>Grams</v>
      </c>
      <c r="M58" s="36" t="s">
        <v>1474</v>
      </c>
      <c r="N58" s="3"/>
      <c r="O58" s="16" t="s">
        <v>1269</v>
      </c>
      <c r="P58" s="37" t="str">
        <f>PROPER(units)</f>
        <v>Grams</v>
      </c>
      <c r="Q58" s="36" t="s">
        <v>1474</v>
      </c>
      <c r="R58" s="3"/>
      <c r="S58" s="16" t="s">
        <v>1269</v>
      </c>
      <c r="T58" s="37" t="str">
        <f>PROPER(units)</f>
        <v>Grams</v>
      </c>
      <c r="U58" s="36" t="s">
        <v>1474</v>
      </c>
      <c r="V58" s="3"/>
      <c r="W58" s="16" t="s">
        <v>1269</v>
      </c>
      <c r="X58" s="37" t="str">
        <f>PROPER(units)</f>
        <v>Grams</v>
      </c>
      <c r="Y58" s="36" t="s">
        <v>1474</v>
      </c>
      <c r="Z58" s="3"/>
      <c r="AA58" s="16" t="s">
        <v>1269</v>
      </c>
      <c r="AB58" s="37" t="str">
        <f>PROPER(units)</f>
        <v>Grams</v>
      </c>
      <c r="AC58" s="36" t="s">
        <v>1474</v>
      </c>
      <c r="AD58" s="3"/>
    </row>
    <row r="59" spans="1:30">
      <c r="A59" s="117">
        <v>56</v>
      </c>
      <c r="B59" s="45" t="str">
        <f t="shared" ref="B59:B65" ca="1" si="65">INDEX(INDIRECT(Body.db),A59,1)</f>
        <v xml:space="preserve">* CHEESE,COTTAGE,LOWFAT,1% </v>
      </c>
      <c r="C59" s="104">
        <f t="shared" ref="C59:C65" ca="1" si="66">IF(B59&gt;0,IF(G59-E59&gt;E59-H59,H59,G59),)</f>
        <v>113</v>
      </c>
      <c r="D59" s="48">
        <f t="shared" ref="D59:D65" ca="1" si="67">INDEX(INDIRECT(VLOOKUP(Body.type,Body_type,5,FALSE)),A59,2)</f>
        <v>113</v>
      </c>
      <c r="E59" s="104">
        <f t="shared" ref="E59:E65" ca="1" si="68">IF(B59&gt;0,D59*$J$4,)</f>
        <v>105.41233156146181</v>
      </c>
      <c r="F59" s="104">
        <f t="shared" ref="F59:F65" ca="1" si="69">IF(B59&gt;0,VLOOKUP(B59,Food_Database,9,FALSE),)</f>
        <v>28.25</v>
      </c>
      <c r="G59" s="104">
        <f t="shared" ref="G59:G65" ca="1" si="70">IF(B59&gt;0,CEILING(E59,F59),)</f>
        <v>113</v>
      </c>
      <c r="H59" s="104">
        <f t="shared" ref="H59:H65" ca="1" si="71">IF(B59&gt;0,FLOOR(E59,F59),)</f>
        <v>84.75</v>
      </c>
      <c r="I59" s="41">
        <f t="shared" ref="I59:I65" ca="1" si="72">IF(B59&gt;0,VLOOKUP(B59,Food_Database,2,FALSE)*C59/convert,)</f>
        <v>81.36</v>
      </c>
      <c r="J59" s="3"/>
      <c r="K59" s="45" t="s">
        <v>381</v>
      </c>
      <c r="L59" s="194">
        <v>113</v>
      </c>
      <c r="M59" s="41">
        <f t="shared" ref="M59:M65" si="73">IF(K59&gt;0,VLOOKUP(K59,Food_Database,2,FALSE)*L59/convert,)</f>
        <v>81.36</v>
      </c>
      <c r="N59" s="3"/>
      <c r="O59" s="45" t="s">
        <v>381</v>
      </c>
      <c r="P59" s="194">
        <v>113</v>
      </c>
      <c r="Q59" s="41">
        <f t="shared" ref="Q59:Q65" si="74">IF(O59&gt;0,VLOOKUP(O59,Food_Database,2,FALSE)*P59/convert,)</f>
        <v>81.36</v>
      </c>
      <c r="R59" s="3"/>
      <c r="S59" s="45" t="s">
        <v>381</v>
      </c>
      <c r="T59" s="194">
        <v>113</v>
      </c>
      <c r="U59" s="41">
        <f t="shared" ref="U59:U65" si="75">IF(S59&gt;0,VLOOKUP(S59,Food_Database,2,FALSE)*T59/convert,)</f>
        <v>81.36</v>
      </c>
      <c r="V59" s="3"/>
      <c r="W59" s="45" t="s">
        <v>381</v>
      </c>
      <c r="X59" s="194">
        <v>113</v>
      </c>
      <c r="Y59" s="41">
        <f t="shared" ref="Y59:Y65" si="76">IF(W59&gt;0,VLOOKUP(W59,Food_Database,2,FALSE)*X59/convert,)</f>
        <v>81.36</v>
      </c>
      <c r="Z59" s="3"/>
      <c r="AA59" s="45" t="s">
        <v>381</v>
      </c>
      <c r="AB59" s="194">
        <v>113</v>
      </c>
      <c r="AC59" s="41">
        <f t="shared" ref="AC59:AC65" si="77">IF(AA59&gt;0,VLOOKUP(AA59,Food_Database,2,FALSE)*AB59/convert,)</f>
        <v>81.36</v>
      </c>
      <c r="AD59" s="3"/>
    </row>
    <row r="60" spans="1:30">
      <c r="A60" s="117">
        <v>57</v>
      </c>
      <c r="B60" s="46" t="str">
        <f t="shared" ca="1" si="65"/>
        <v>* BEEF,GROUND, 5% FAT,RAW</v>
      </c>
      <c r="C60" s="105">
        <f t="shared" ca="1" si="66"/>
        <v>114</v>
      </c>
      <c r="D60" s="49">
        <f t="shared" ca="1" si="67"/>
        <v>114</v>
      </c>
      <c r="E60" s="105">
        <f t="shared" ca="1" si="68"/>
        <v>106.34518405315617</v>
      </c>
      <c r="F60" s="105">
        <f t="shared" ca="1" si="69"/>
        <v>57</v>
      </c>
      <c r="G60" s="105">
        <f t="shared" ca="1" si="70"/>
        <v>114</v>
      </c>
      <c r="H60" s="105">
        <f t="shared" ca="1" si="71"/>
        <v>57</v>
      </c>
      <c r="I60" s="41">
        <f t="shared" ca="1" si="72"/>
        <v>156.18</v>
      </c>
      <c r="J60" s="3"/>
      <c r="K60" s="46" t="s">
        <v>818</v>
      </c>
      <c r="L60" s="195">
        <v>114</v>
      </c>
      <c r="M60" s="41">
        <f t="shared" si="73"/>
        <v>156.18</v>
      </c>
      <c r="N60" s="3"/>
      <c r="O60" s="46" t="s">
        <v>818</v>
      </c>
      <c r="P60" s="195">
        <v>114</v>
      </c>
      <c r="Q60" s="41">
        <f t="shared" si="74"/>
        <v>156.18</v>
      </c>
      <c r="R60" s="3"/>
      <c r="S60" s="46" t="s">
        <v>818</v>
      </c>
      <c r="T60" s="195">
        <v>114</v>
      </c>
      <c r="U60" s="41">
        <f t="shared" si="75"/>
        <v>156.18</v>
      </c>
      <c r="V60" s="3"/>
      <c r="W60" s="46" t="s">
        <v>818</v>
      </c>
      <c r="X60" s="195">
        <v>114</v>
      </c>
      <c r="Y60" s="41">
        <f t="shared" si="76"/>
        <v>156.18</v>
      </c>
      <c r="Z60" s="3"/>
      <c r="AA60" s="46" t="s">
        <v>818</v>
      </c>
      <c r="AB60" s="195">
        <v>114</v>
      </c>
      <c r="AC60" s="41">
        <f t="shared" si="77"/>
        <v>156.18</v>
      </c>
      <c r="AD60" s="3"/>
    </row>
    <row r="61" spans="1:30">
      <c r="A61" s="117">
        <v>58</v>
      </c>
      <c r="B61" s="46" t="str">
        <f t="shared" ca="1" si="65"/>
        <v>* RICE,BROWN,MEDIUM-GRAIN,RAW</v>
      </c>
      <c r="C61" s="105">
        <f t="shared" ca="1" si="66"/>
        <v>95</v>
      </c>
      <c r="D61" s="49">
        <f t="shared" ca="1" si="67"/>
        <v>95</v>
      </c>
      <c r="E61" s="105">
        <f t="shared" ca="1" si="68"/>
        <v>88.620986710963479</v>
      </c>
      <c r="F61" s="105">
        <f t="shared" ca="1" si="69"/>
        <v>23.75</v>
      </c>
      <c r="G61" s="105">
        <f t="shared" ca="1" si="70"/>
        <v>95</v>
      </c>
      <c r="H61" s="105">
        <f t="shared" ca="1" si="71"/>
        <v>71.25</v>
      </c>
      <c r="I61" s="41">
        <f t="shared" ca="1" si="72"/>
        <v>343.9</v>
      </c>
      <c r="J61" s="3"/>
      <c r="K61" s="46" t="s">
        <v>223</v>
      </c>
      <c r="L61" s="195">
        <v>95</v>
      </c>
      <c r="M61" s="41">
        <f t="shared" si="73"/>
        <v>343.9</v>
      </c>
      <c r="N61" s="3"/>
      <c r="O61" s="46" t="s">
        <v>223</v>
      </c>
      <c r="P61" s="195">
        <v>95</v>
      </c>
      <c r="Q61" s="41">
        <f t="shared" si="74"/>
        <v>343.9</v>
      </c>
      <c r="R61" s="3"/>
      <c r="S61" s="46" t="s">
        <v>223</v>
      </c>
      <c r="T61" s="195">
        <v>95</v>
      </c>
      <c r="U61" s="41">
        <f t="shared" si="75"/>
        <v>343.9</v>
      </c>
      <c r="V61" s="3"/>
      <c r="W61" s="46" t="s">
        <v>223</v>
      </c>
      <c r="X61" s="195">
        <v>95</v>
      </c>
      <c r="Y61" s="41">
        <f t="shared" si="76"/>
        <v>343.9</v>
      </c>
      <c r="Z61" s="3"/>
      <c r="AA61" s="46" t="s">
        <v>223</v>
      </c>
      <c r="AB61" s="195">
        <v>80</v>
      </c>
      <c r="AC61" s="41">
        <f t="shared" si="77"/>
        <v>289.60000000000002</v>
      </c>
      <c r="AD61" s="3"/>
    </row>
    <row r="62" spans="1:30">
      <c r="A62" s="117">
        <v>59</v>
      </c>
      <c r="B62" s="46">
        <f t="shared" ca="1" si="65"/>
        <v>0</v>
      </c>
      <c r="C62" s="105">
        <f t="shared" ca="1" si="66"/>
        <v>0</v>
      </c>
      <c r="D62" s="49">
        <f t="shared" ca="1" si="67"/>
        <v>0</v>
      </c>
      <c r="E62" s="105">
        <f t="shared" ca="1" si="68"/>
        <v>0</v>
      </c>
      <c r="F62" s="105">
        <f t="shared" ca="1" si="69"/>
        <v>0</v>
      </c>
      <c r="G62" s="105">
        <f t="shared" ca="1" si="70"/>
        <v>0</v>
      </c>
      <c r="H62" s="105">
        <f t="shared" ca="1" si="71"/>
        <v>0</v>
      </c>
      <c r="I62" s="41">
        <f t="shared" ca="1" si="72"/>
        <v>0</v>
      </c>
      <c r="J62" s="3"/>
      <c r="K62" s="46"/>
      <c r="L62" s="52"/>
      <c r="M62" s="41">
        <f t="shared" si="73"/>
        <v>0</v>
      </c>
      <c r="N62" s="3"/>
      <c r="O62" s="46"/>
      <c r="P62" s="52"/>
      <c r="Q62" s="41">
        <f t="shared" si="74"/>
        <v>0</v>
      </c>
      <c r="R62" s="3"/>
      <c r="S62" s="46"/>
      <c r="T62" s="52"/>
      <c r="U62" s="41">
        <f t="shared" si="75"/>
        <v>0</v>
      </c>
      <c r="V62" s="3"/>
      <c r="W62" s="46"/>
      <c r="X62" s="52"/>
      <c r="Y62" s="41">
        <f t="shared" si="76"/>
        <v>0</v>
      </c>
      <c r="Z62" s="3"/>
      <c r="AA62" s="46"/>
      <c r="AB62" s="52"/>
      <c r="AC62" s="41">
        <f t="shared" si="77"/>
        <v>0</v>
      </c>
      <c r="AD62" s="3"/>
    </row>
    <row r="63" spans="1:30">
      <c r="A63" s="117">
        <v>60</v>
      </c>
      <c r="B63" s="46">
        <f t="shared" ca="1" si="65"/>
        <v>0</v>
      </c>
      <c r="C63" s="105">
        <f t="shared" ca="1" si="66"/>
        <v>0</v>
      </c>
      <c r="D63" s="49">
        <f t="shared" ca="1" si="67"/>
        <v>0</v>
      </c>
      <c r="E63" s="105">
        <f t="shared" ca="1" si="68"/>
        <v>0</v>
      </c>
      <c r="F63" s="105">
        <f t="shared" ca="1" si="69"/>
        <v>0</v>
      </c>
      <c r="G63" s="105">
        <f t="shared" ca="1" si="70"/>
        <v>0</v>
      </c>
      <c r="H63" s="105">
        <f t="shared" ca="1" si="71"/>
        <v>0</v>
      </c>
      <c r="I63" s="41">
        <f t="shared" ca="1" si="72"/>
        <v>0</v>
      </c>
      <c r="J63" s="3"/>
      <c r="K63" s="46"/>
      <c r="L63" s="52"/>
      <c r="M63" s="41">
        <f t="shared" si="73"/>
        <v>0</v>
      </c>
      <c r="N63" s="3"/>
      <c r="O63" s="46"/>
      <c r="P63" s="52"/>
      <c r="Q63" s="41">
        <f t="shared" si="74"/>
        <v>0</v>
      </c>
      <c r="R63" s="3"/>
      <c r="S63" s="46"/>
      <c r="T63" s="52"/>
      <c r="U63" s="41">
        <f t="shared" si="75"/>
        <v>0</v>
      </c>
      <c r="V63" s="3"/>
      <c r="W63" s="46"/>
      <c r="X63" s="52"/>
      <c r="Y63" s="41">
        <f t="shared" si="76"/>
        <v>0</v>
      </c>
      <c r="Z63" s="3"/>
      <c r="AA63" s="46"/>
      <c r="AB63" s="52"/>
      <c r="AC63" s="41">
        <f t="shared" si="77"/>
        <v>0</v>
      </c>
      <c r="AD63" s="3"/>
    </row>
    <row r="64" spans="1:30">
      <c r="A64" s="117">
        <v>61</v>
      </c>
      <c r="B64" s="46">
        <f t="shared" ca="1" si="65"/>
        <v>0</v>
      </c>
      <c r="C64" s="105">
        <f t="shared" ca="1" si="66"/>
        <v>0</v>
      </c>
      <c r="D64" s="49">
        <f t="shared" ca="1" si="67"/>
        <v>0</v>
      </c>
      <c r="E64" s="105">
        <f t="shared" ca="1" si="68"/>
        <v>0</v>
      </c>
      <c r="F64" s="105">
        <f t="shared" ca="1" si="69"/>
        <v>0</v>
      </c>
      <c r="G64" s="105">
        <f t="shared" ca="1" si="70"/>
        <v>0</v>
      </c>
      <c r="H64" s="105">
        <f t="shared" ca="1" si="71"/>
        <v>0</v>
      </c>
      <c r="I64" s="41">
        <f t="shared" ca="1" si="72"/>
        <v>0</v>
      </c>
      <c r="J64" s="3"/>
      <c r="K64" s="46"/>
      <c r="L64" s="52"/>
      <c r="M64" s="41">
        <f t="shared" si="73"/>
        <v>0</v>
      </c>
      <c r="N64" s="3"/>
      <c r="O64" s="46"/>
      <c r="P64" s="52"/>
      <c r="Q64" s="41">
        <f t="shared" si="74"/>
        <v>0</v>
      </c>
      <c r="R64" s="3"/>
      <c r="S64" s="46"/>
      <c r="T64" s="52"/>
      <c r="U64" s="41">
        <f t="shared" si="75"/>
        <v>0</v>
      </c>
      <c r="V64" s="3"/>
      <c r="W64" s="46"/>
      <c r="X64" s="52"/>
      <c r="Y64" s="41">
        <f t="shared" si="76"/>
        <v>0</v>
      </c>
      <c r="Z64" s="3"/>
      <c r="AA64" s="46"/>
      <c r="AB64" s="52"/>
      <c r="AC64" s="41">
        <f t="shared" si="77"/>
        <v>0</v>
      </c>
      <c r="AD64" s="3"/>
    </row>
    <row r="65" spans="1:30" ht="13.5" thickBot="1">
      <c r="A65" s="117">
        <v>62</v>
      </c>
      <c r="B65" s="47">
        <f t="shared" ca="1" si="65"/>
        <v>0</v>
      </c>
      <c r="C65" s="106">
        <f t="shared" ca="1" si="66"/>
        <v>0</v>
      </c>
      <c r="D65" s="50">
        <f t="shared" ca="1" si="67"/>
        <v>0</v>
      </c>
      <c r="E65" s="106">
        <f t="shared" ca="1" si="68"/>
        <v>0</v>
      </c>
      <c r="F65" s="106">
        <f t="shared" ca="1" si="69"/>
        <v>0</v>
      </c>
      <c r="G65" s="106">
        <f t="shared" ca="1" si="70"/>
        <v>0</v>
      </c>
      <c r="H65" s="106">
        <f t="shared" ca="1" si="71"/>
        <v>0</v>
      </c>
      <c r="I65" s="44">
        <f t="shared" ca="1" si="72"/>
        <v>0</v>
      </c>
      <c r="J65" s="3"/>
      <c r="K65" s="47"/>
      <c r="L65" s="53"/>
      <c r="M65" s="44">
        <f t="shared" si="73"/>
        <v>0</v>
      </c>
      <c r="N65" s="3"/>
      <c r="O65" s="47"/>
      <c r="P65" s="53"/>
      <c r="Q65" s="44">
        <f t="shared" si="74"/>
        <v>0</v>
      </c>
      <c r="R65" s="3"/>
      <c r="S65" s="47"/>
      <c r="T65" s="53"/>
      <c r="U65" s="44">
        <f t="shared" si="75"/>
        <v>0</v>
      </c>
      <c r="V65" s="3"/>
      <c r="W65" s="47"/>
      <c r="X65" s="53"/>
      <c r="Y65" s="44">
        <f t="shared" si="76"/>
        <v>0</v>
      </c>
      <c r="Z65" s="3"/>
      <c r="AA65" s="47"/>
      <c r="AB65" s="53"/>
      <c r="AC65" s="44">
        <f t="shared" si="77"/>
        <v>0</v>
      </c>
      <c r="AD65" s="3"/>
    </row>
    <row r="66" spans="1:30" ht="13.5" thickBot="1">
      <c r="A66" s="117">
        <v>63</v>
      </c>
      <c r="B66" s="77" t="s">
        <v>268</v>
      </c>
      <c r="C66" s="3"/>
      <c r="D66" s="3"/>
      <c r="E66" s="3"/>
      <c r="F66" s="3"/>
      <c r="G66" s="3"/>
      <c r="H66" s="3"/>
      <c r="I66" s="3"/>
      <c r="J66" s="3"/>
      <c r="K66" s="77" t="s">
        <v>268</v>
      </c>
      <c r="L66" s="3"/>
      <c r="M66" s="3"/>
      <c r="N66" s="3"/>
      <c r="O66" s="77" t="s">
        <v>268</v>
      </c>
      <c r="P66" s="3"/>
      <c r="Q66" s="3"/>
      <c r="R66" s="3"/>
      <c r="S66" s="77" t="s">
        <v>268</v>
      </c>
      <c r="T66" s="3"/>
      <c r="U66" s="3"/>
      <c r="V66" s="3"/>
      <c r="W66" s="77" t="s">
        <v>268</v>
      </c>
      <c r="X66" s="3"/>
      <c r="Y66" s="3"/>
      <c r="Z66" s="3"/>
      <c r="AA66" s="77" t="s">
        <v>268</v>
      </c>
      <c r="AB66" s="3"/>
      <c r="AC66" s="3"/>
      <c r="AD66" s="3"/>
    </row>
    <row r="67" spans="1:30" ht="14.25" thickTop="1" thickBot="1">
      <c r="A67" s="117">
        <v>64</v>
      </c>
      <c r="B67" s="78"/>
      <c r="C67" s="79"/>
      <c r="D67" s="79" t="s">
        <v>1271</v>
      </c>
      <c r="E67" s="79"/>
      <c r="F67" s="79"/>
      <c r="G67" s="79"/>
      <c r="H67" s="79"/>
      <c r="I67" s="81">
        <f ca="1">SUM(I70:I76)</f>
        <v>676.92750000000001</v>
      </c>
      <c r="J67" s="3"/>
      <c r="K67" s="78"/>
      <c r="L67" s="79" t="s">
        <v>1271</v>
      </c>
      <c r="M67" s="81">
        <f>SUM(M70:M76)</f>
        <v>730.3900000000001</v>
      </c>
      <c r="N67" s="3"/>
      <c r="O67" s="78"/>
      <c r="P67" s="79" t="s">
        <v>1271</v>
      </c>
      <c r="Q67" s="81">
        <f>SUM(Q70:Q76)</f>
        <v>721.3649999999999</v>
      </c>
      <c r="R67" s="3"/>
      <c r="S67" s="78"/>
      <c r="T67" s="79" t="s">
        <v>1271</v>
      </c>
      <c r="U67" s="81">
        <f>SUM(U70:U76)</f>
        <v>825.75</v>
      </c>
      <c r="V67" s="3"/>
      <c r="W67" s="78"/>
      <c r="X67" s="79" t="s">
        <v>1271</v>
      </c>
      <c r="Y67" s="81">
        <f>SUM(Y70:Y76)</f>
        <v>829.875</v>
      </c>
      <c r="Z67" s="3"/>
      <c r="AA67" s="78"/>
      <c r="AB67" s="79" t="s">
        <v>1271</v>
      </c>
      <c r="AC67" s="81">
        <f>SUM(AC70:AC76)</f>
        <v>784.5</v>
      </c>
      <c r="AD67" s="3"/>
    </row>
    <row r="68" spans="1:30" ht="13.5" thickBot="1">
      <c r="A68" s="117">
        <v>65</v>
      </c>
      <c r="B68" s="82" t="str">
        <f>"Meal "&amp;Meal.post&amp;" (Post workout)"</f>
        <v>Meal 0 (Post workout)</v>
      </c>
      <c r="C68" s="83"/>
      <c r="D68" s="83" t="s">
        <v>1270</v>
      </c>
      <c r="E68" s="83"/>
      <c r="F68" s="83"/>
      <c r="G68" s="83"/>
      <c r="H68" s="83"/>
      <c r="I68" s="83"/>
      <c r="J68" s="3"/>
      <c r="K68" s="82" t="s">
        <v>329</v>
      </c>
      <c r="L68" s="83" t="s">
        <v>1270</v>
      </c>
      <c r="M68" s="83"/>
      <c r="N68" s="3"/>
      <c r="O68" s="82" t="s">
        <v>329</v>
      </c>
      <c r="P68" s="83" t="s">
        <v>1270</v>
      </c>
      <c r="Q68" s="83"/>
      <c r="R68" s="3"/>
      <c r="S68" s="82" t="s">
        <v>329</v>
      </c>
      <c r="T68" s="83" t="s">
        <v>1270</v>
      </c>
      <c r="U68" s="83"/>
      <c r="V68" s="3"/>
      <c r="W68" s="82" t="s">
        <v>329</v>
      </c>
      <c r="X68" s="83" t="s">
        <v>1270</v>
      </c>
      <c r="Y68" s="83"/>
      <c r="Z68" s="3"/>
      <c r="AA68" s="82" t="s">
        <v>329</v>
      </c>
      <c r="AB68" s="83" t="s">
        <v>1270</v>
      </c>
      <c r="AC68" s="83"/>
      <c r="AD68" s="3"/>
    </row>
    <row r="69" spans="1:30" ht="13.5" thickBot="1">
      <c r="A69" s="117">
        <v>66</v>
      </c>
      <c r="B69" s="16" t="s">
        <v>1269</v>
      </c>
      <c r="C69" s="37"/>
      <c r="D69" s="37" t="str">
        <f>PROPER(units)</f>
        <v>Grams</v>
      </c>
      <c r="E69" s="37"/>
      <c r="F69" s="37"/>
      <c r="G69" s="37"/>
      <c r="H69" s="37"/>
      <c r="I69" s="36" t="s">
        <v>1474</v>
      </c>
      <c r="J69" s="3"/>
      <c r="K69" s="16" t="s">
        <v>1269</v>
      </c>
      <c r="L69" s="37" t="str">
        <f>PROPER(units)</f>
        <v>Grams</v>
      </c>
      <c r="M69" s="36" t="s">
        <v>1474</v>
      </c>
      <c r="N69" s="3"/>
      <c r="O69" s="16" t="s">
        <v>1269</v>
      </c>
      <c r="P69" s="37" t="str">
        <f>PROPER(units)</f>
        <v>Grams</v>
      </c>
      <c r="Q69" s="36" t="s">
        <v>1474</v>
      </c>
      <c r="R69" s="3"/>
      <c r="S69" s="16" t="s">
        <v>1269</v>
      </c>
      <c r="T69" s="37" t="str">
        <f>PROPER(units)</f>
        <v>Grams</v>
      </c>
      <c r="U69" s="36" t="s">
        <v>1474</v>
      </c>
      <c r="V69" s="3"/>
      <c r="W69" s="16" t="s">
        <v>1269</v>
      </c>
      <c r="X69" s="37" t="str">
        <f>PROPER(units)</f>
        <v>Grams</v>
      </c>
      <c r="Y69" s="36" t="s">
        <v>1474</v>
      </c>
      <c r="Z69" s="3"/>
      <c r="AA69" s="16" t="s">
        <v>1269</v>
      </c>
      <c r="AB69" s="37" t="str">
        <f>PROPER(units)</f>
        <v>Grams</v>
      </c>
      <c r="AC69" s="36" t="s">
        <v>1474</v>
      </c>
      <c r="AD69" s="3"/>
    </row>
    <row r="70" spans="1:30">
      <c r="A70" s="117">
        <v>67</v>
      </c>
      <c r="B70" s="45" t="str">
        <f t="shared" ref="B70:B76" ca="1" si="78">INDEX(INDIRECT(Body.db),A70,1)</f>
        <v>* PROTEIN POWDER (SCOOP)</v>
      </c>
      <c r="C70" s="104">
        <f t="shared" ref="C70:C76" ca="1" si="79">IF(B70&gt;0,IF(G70-E70&gt;E70-H70,H70,G70),)</f>
        <v>52.5</v>
      </c>
      <c r="D70" s="48">
        <f t="shared" ref="D70:D76" ca="1" si="80">INDEX(INDIRECT(VLOOKUP(Body.type,Body_type,5,FALSE)),A70,2)</f>
        <v>60</v>
      </c>
      <c r="E70" s="104">
        <f t="shared" ref="E70:E76" ca="1" si="81">IF(B70&gt;0,D70*$J$4,)</f>
        <v>55.971149501661145</v>
      </c>
      <c r="F70" s="104">
        <f t="shared" ref="F70:F76" ca="1" si="82">IF(B70&gt;0,VLOOKUP(B70,Food_Database,9,FALSE),)</f>
        <v>7.5</v>
      </c>
      <c r="G70" s="104">
        <f t="shared" ref="G70:G76" ca="1" si="83">IF(B70&gt;0,CEILING(E70,F70),)</f>
        <v>60</v>
      </c>
      <c r="H70" s="104">
        <f t="shared" ref="H70:H76" ca="1" si="84">IF(B70&gt;0,FLOOR(E70,F70),)</f>
        <v>52.5</v>
      </c>
      <c r="I70" s="41">
        <f t="shared" ref="I70:I76" ca="1" si="85">IF(B70&gt;0,VLOOKUP(B70,Food_Database,2,FALSE)*C70/convert,)</f>
        <v>210</v>
      </c>
      <c r="J70" s="3"/>
      <c r="K70" s="45" t="s">
        <v>469</v>
      </c>
      <c r="L70" s="194">
        <v>60</v>
      </c>
      <c r="M70" s="41">
        <f t="shared" ref="M70:M76" si="86">IF(K70&gt;0,VLOOKUP(K70,Food_Database,2,FALSE)*L70/convert,)</f>
        <v>240</v>
      </c>
      <c r="N70" s="3"/>
      <c r="O70" s="45" t="s">
        <v>469</v>
      </c>
      <c r="P70" s="194">
        <v>60</v>
      </c>
      <c r="Q70" s="41">
        <f t="shared" ref="Q70:Q76" si="87">IF(O70&gt;0,VLOOKUP(O70,Food_Database,2,FALSE)*P70/convert,)</f>
        <v>240</v>
      </c>
      <c r="R70" s="3"/>
      <c r="S70" s="45" t="s">
        <v>469</v>
      </c>
      <c r="T70" s="194">
        <v>60</v>
      </c>
      <c r="U70" s="41">
        <f t="shared" ref="U70:U76" si="88">IF(S70&gt;0,VLOOKUP(S70,Food_Database,2,FALSE)*T70/convert,)</f>
        <v>240</v>
      </c>
      <c r="V70" s="3"/>
      <c r="W70" s="45" t="s">
        <v>469</v>
      </c>
      <c r="X70" s="194">
        <v>60</v>
      </c>
      <c r="Y70" s="41">
        <f t="shared" ref="Y70:Y76" si="89">IF(W70&gt;0,VLOOKUP(W70,Food_Database,2,FALSE)*X70/convert,)</f>
        <v>240</v>
      </c>
      <c r="Z70" s="3"/>
      <c r="AA70" s="45" t="s">
        <v>469</v>
      </c>
      <c r="AB70" s="194">
        <v>60</v>
      </c>
      <c r="AC70" s="41">
        <f t="shared" ref="AC70:AC76" si="90">IF(AA70&gt;0,VLOOKUP(AA70,Food_Database,2,FALSE)*AB70/convert,)</f>
        <v>240</v>
      </c>
      <c r="AD70" s="3"/>
    </row>
    <row r="71" spans="1:30">
      <c r="A71" s="117">
        <v>68</v>
      </c>
      <c r="B71" s="46" t="str">
        <f t="shared" ca="1" si="78"/>
        <v>* MILK, SKIM</v>
      </c>
      <c r="C71" s="105">
        <f t="shared" ca="1" si="79"/>
        <v>214.375</v>
      </c>
      <c r="D71" s="49">
        <f t="shared" ca="1" si="80"/>
        <v>245</v>
      </c>
      <c r="E71" s="105">
        <f t="shared" ca="1" si="81"/>
        <v>228.54886046511632</v>
      </c>
      <c r="F71" s="105">
        <f t="shared" ca="1" si="82"/>
        <v>30.625</v>
      </c>
      <c r="G71" s="105">
        <f t="shared" ca="1" si="83"/>
        <v>245</v>
      </c>
      <c r="H71" s="105">
        <f t="shared" ca="1" si="84"/>
        <v>214.375</v>
      </c>
      <c r="I71" s="41">
        <f t="shared" ca="1" si="85"/>
        <v>72.887500000000003</v>
      </c>
      <c r="J71" s="3"/>
      <c r="K71" s="46" t="s">
        <v>179</v>
      </c>
      <c r="L71" s="195">
        <v>245</v>
      </c>
      <c r="M71" s="41">
        <f t="shared" si="86"/>
        <v>83.3</v>
      </c>
      <c r="N71" s="3"/>
      <c r="O71" s="46" t="s">
        <v>179</v>
      </c>
      <c r="P71" s="195">
        <v>245</v>
      </c>
      <c r="Q71" s="41">
        <f t="shared" si="87"/>
        <v>83.3</v>
      </c>
      <c r="R71" s="3"/>
      <c r="S71" s="46" t="s">
        <v>179</v>
      </c>
      <c r="T71" s="195">
        <v>245</v>
      </c>
      <c r="U71" s="41">
        <f t="shared" si="88"/>
        <v>83.3</v>
      </c>
      <c r="V71" s="3"/>
      <c r="W71" s="46" t="s">
        <v>179</v>
      </c>
      <c r="X71" s="195">
        <v>245</v>
      </c>
      <c r="Y71" s="41">
        <f t="shared" si="89"/>
        <v>83.3</v>
      </c>
      <c r="Z71" s="3"/>
      <c r="AA71" s="46" t="s">
        <v>179</v>
      </c>
      <c r="AB71" s="195">
        <v>245</v>
      </c>
      <c r="AC71" s="41">
        <f t="shared" si="90"/>
        <v>83.3</v>
      </c>
      <c r="AD71" s="3"/>
    </row>
    <row r="72" spans="1:30">
      <c r="A72" s="117">
        <v>69</v>
      </c>
      <c r="B72" s="46" t="str">
        <f t="shared" ca="1" si="78"/>
        <v>* STRAWBERRIES,RAW</v>
      </c>
      <c r="C72" s="105">
        <f t="shared" ca="1" si="79"/>
        <v>285</v>
      </c>
      <c r="D72" s="49">
        <f t="shared" ca="1" si="80"/>
        <v>300</v>
      </c>
      <c r="E72" s="105">
        <f t="shared" ca="1" si="81"/>
        <v>279.85574750830568</v>
      </c>
      <c r="F72" s="105">
        <f t="shared" ca="1" si="82"/>
        <v>19</v>
      </c>
      <c r="G72" s="105">
        <f t="shared" ca="1" si="83"/>
        <v>285</v>
      </c>
      <c r="H72" s="105">
        <f t="shared" ca="1" si="84"/>
        <v>266</v>
      </c>
      <c r="I72" s="41">
        <f t="shared" ca="1" si="85"/>
        <v>91.2</v>
      </c>
      <c r="J72" s="3"/>
      <c r="K72" s="46" t="s">
        <v>230</v>
      </c>
      <c r="L72" s="195">
        <v>300</v>
      </c>
      <c r="M72" s="41">
        <f t="shared" si="86"/>
        <v>96</v>
      </c>
      <c r="N72" s="3"/>
      <c r="O72" s="46" t="s">
        <v>230</v>
      </c>
      <c r="P72" s="195">
        <v>152</v>
      </c>
      <c r="Q72" s="41">
        <f t="shared" si="87"/>
        <v>48.64</v>
      </c>
      <c r="R72" s="3"/>
      <c r="S72" s="46" t="s">
        <v>230</v>
      </c>
      <c r="T72" s="195">
        <v>304</v>
      </c>
      <c r="U72" s="41">
        <f t="shared" si="88"/>
        <v>97.28</v>
      </c>
      <c r="V72" s="3"/>
      <c r="W72" s="46" t="s">
        <v>230</v>
      </c>
      <c r="X72" s="195">
        <v>304</v>
      </c>
      <c r="Y72" s="41">
        <f t="shared" si="89"/>
        <v>97.28</v>
      </c>
      <c r="Z72" s="3"/>
      <c r="AA72" s="46" t="s">
        <v>230</v>
      </c>
      <c r="AB72" s="195">
        <v>304</v>
      </c>
      <c r="AC72" s="41">
        <f t="shared" si="90"/>
        <v>97.28</v>
      </c>
      <c r="AD72" s="3"/>
    </row>
    <row r="73" spans="1:30">
      <c r="A73" s="117">
        <v>70</v>
      </c>
      <c r="B73" s="46" t="str">
        <f t="shared" ca="1" si="78"/>
        <v>BANANAS,RAW</v>
      </c>
      <c r="C73" s="105">
        <f t="shared" ca="1" si="79"/>
        <v>118</v>
      </c>
      <c r="D73" s="49">
        <f t="shared" ca="1" si="80"/>
        <v>118</v>
      </c>
      <c r="E73" s="105">
        <f t="shared" ca="1" si="81"/>
        <v>110.07659401993358</v>
      </c>
      <c r="F73" s="105">
        <f t="shared" ca="1" si="82"/>
        <v>29.5</v>
      </c>
      <c r="G73" s="105">
        <f t="shared" ca="1" si="83"/>
        <v>118</v>
      </c>
      <c r="H73" s="105">
        <f t="shared" ca="1" si="84"/>
        <v>88.5</v>
      </c>
      <c r="I73" s="41">
        <f t="shared" ca="1" si="85"/>
        <v>105.02</v>
      </c>
      <c r="J73" s="3"/>
      <c r="K73" s="46" t="s">
        <v>170</v>
      </c>
      <c r="L73" s="195">
        <v>118</v>
      </c>
      <c r="M73" s="41">
        <f t="shared" si="86"/>
        <v>105.02</v>
      </c>
      <c r="N73" s="3"/>
      <c r="O73" s="46" t="s">
        <v>170</v>
      </c>
      <c r="P73" s="195">
        <v>60</v>
      </c>
      <c r="Q73" s="41">
        <f t="shared" si="87"/>
        <v>53.4</v>
      </c>
      <c r="R73" s="3"/>
      <c r="S73" s="46" t="s">
        <v>170</v>
      </c>
      <c r="T73" s="195">
        <v>118</v>
      </c>
      <c r="U73" s="41">
        <f t="shared" si="88"/>
        <v>105.02</v>
      </c>
      <c r="V73" s="3"/>
      <c r="W73" s="46" t="s">
        <v>170</v>
      </c>
      <c r="X73" s="195">
        <v>118</v>
      </c>
      <c r="Y73" s="41">
        <f t="shared" si="89"/>
        <v>105.02</v>
      </c>
      <c r="Z73" s="3"/>
      <c r="AA73" s="46" t="s">
        <v>170</v>
      </c>
      <c r="AB73" s="195">
        <v>118</v>
      </c>
      <c r="AC73" s="41">
        <f t="shared" si="90"/>
        <v>105.02</v>
      </c>
      <c r="AD73" s="3"/>
    </row>
    <row r="74" spans="1:30">
      <c r="A74" s="117">
        <v>71</v>
      </c>
      <c r="B74" s="46" t="str">
        <f t="shared" ca="1" si="78"/>
        <v>CANDIES,JELLYBEANS</v>
      </c>
      <c r="C74" s="105">
        <f t="shared" ca="1" si="79"/>
        <v>30.800000000000004</v>
      </c>
      <c r="D74" s="49">
        <f t="shared" ca="1" si="80"/>
        <v>33</v>
      </c>
      <c r="E74" s="105">
        <f t="shared" ca="1" si="81"/>
        <v>30.784132225913627</v>
      </c>
      <c r="F74" s="105">
        <f t="shared" ca="1" si="82"/>
        <v>1.1000000000000001</v>
      </c>
      <c r="G74" s="105">
        <f t="shared" ca="1" si="83"/>
        <v>30.800000000000004</v>
      </c>
      <c r="H74" s="105">
        <f t="shared" ca="1" si="84"/>
        <v>29.700000000000003</v>
      </c>
      <c r="I74" s="41">
        <f t="shared" ca="1" si="85"/>
        <v>115.50000000000001</v>
      </c>
      <c r="J74" s="3"/>
      <c r="K74" s="46" t="s">
        <v>1222</v>
      </c>
      <c r="L74" s="195">
        <v>33</v>
      </c>
      <c r="M74" s="41">
        <f t="shared" si="86"/>
        <v>123.75</v>
      </c>
      <c r="N74" s="3"/>
      <c r="O74" s="46" t="s">
        <v>1222</v>
      </c>
      <c r="P74" s="195">
        <v>31.900000000000002</v>
      </c>
      <c r="Q74" s="41">
        <f t="shared" si="87"/>
        <v>119.625</v>
      </c>
      <c r="R74" s="3"/>
      <c r="S74" s="46" t="s">
        <v>1222</v>
      </c>
      <c r="T74" s="195">
        <v>33</v>
      </c>
      <c r="U74" s="41">
        <f t="shared" si="88"/>
        <v>123.75</v>
      </c>
      <c r="V74" s="3"/>
      <c r="W74" s="46" t="s">
        <v>1222</v>
      </c>
      <c r="X74" s="195">
        <v>34.1</v>
      </c>
      <c r="Y74" s="41">
        <f t="shared" si="89"/>
        <v>127.875</v>
      </c>
      <c r="Z74" s="3"/>
      <c r="AA74" s="46" t="s">
        <v>1222</v>
      </c>
      <c r="AB74" s="195">
        <v>22</v>
      </c>
      <c r="AC74" s="41">
        <f t="shared" si="90"/>
        <v>82.5</v>
      </c>
      <c r="AD74" s="3"/>
    </row>
    <row r="75" spans="1:30">
      <c r="A75" s="117">
        <v>72</v>
      </c>
      <c r="B75" s="46" t="str">
        <f t="shared" ca="1" si="78"/>
        <v>* PEANUT BUTTER,SMOOTH STYLE</v>
      </c>
      <c r="C75" s="105">
        <f t="shared" ca="1" si="79"/>
        <v>14</v>
      </c>
      <c r="D75" s="49">
        <f t="shared" ca="1" si="80"/>
        <v>14</v>
      </c>
      <c r="E75" s="105">
        <f t="shared" ca="1" si="81"/>
        <v>13.059934883720933</v>
      </c>
      <c r="F75" s="105">
        <f t="shared" ca="1" si="82"/>
        <v>7</v>
      </c>
      <c r="G75" s="105">
        <f t="shared" ca="1" si="83"/>
        <v>14</v>
      </c>
      <c r="H75" s="105">
        <f t="shared" ca="1" si="84"/>
        <v>7</v>
      </c>
      <c r="I75" s="41">
        <f t="shared" ca="1" si="85"/>
        <v>82.32</v>
      </c>
      <c r="J75" s="3"/>
      <c r="K75" s="46" t="s">
        <v>814</v>
      </c>
      <c r="L75" s="195">
        <v>14</v>
      </c>
      <c r="M75" s="41">
        <f t="shared" si="86"/>
        <v>82.32</v>
      </c>
      <c r="N75" s="3"/>
      <c r="O75" s="46" t="s">
        <v>814</v>
      </c>
      <c r="P75" s="195">
        <v>30</v>
      </c>
      <c r="Q75" s="41">
        <f t="shared" si="87"/>
        <v>176.4</v>
      </c>
      <c r="R75" s="3"/>
      <c r="S75" s="46" t="s">
        <v>814</v>
      </c>
      <c r="T75" s="195">
        <v>30</v>
      </c>
      <c r="U75" s="41">
        <f t="shared" si="88"/>
        <v>176.4</v>
      </c>
      <c r="V75" s="3"/>
      <c r="W75" s="46" t="s">
        <v>814</v>
      </c>
      <c r="X75" s="195">
        <v>30</v>
      </c>
      <c r="Y75" s="41">
        <f t="shared" si="89"/>
        <v>176.4</v>
      </c>
      <c r="Z75" s="3"/>
      <c r="AA75" s="46" t="s">
        <v>814</v>
      </c>
      <c r="AB75" s="195">
        <v>30</v>
      </c>
      <c r="AC75" s="41">
        <f t="shared" si="90"/>
        <v>176.4</v>
      </c>
      <c r="AD75" s="3"/>
    </row>
    <row r="76" spans="1:30" ht="13.5" thickBot="1">
      <c r="A76" s="117">
        <v>73</v>
      </c>
      <c r="B76" s="47">
        <f t="shared" ca="1" si="78"/>
        <v>0</v>
      </c>
      <c r="C76" s="106">
        <f t="shared" ca="1" si="79"/>
        <v>0</v>
      </c>
      <c r="D76" s="50">
        <f t="shared" ca="1" si="80"/>
        <v>0</v>
      </c>
      <c r="E76" s="106">
        <f t="shared" ca="1" si="81"/>
        <v>0</v>
      </c>
      <c r="F76" s="106">
        <f t="shared" ca="1" si="82"/>
        <v>0</v>
      </c>
      <c r="G76" s="106">
        <f t="shared" ca="1" si="83"/>
        <v>0</v>
      </c>
      <c r="H76" s="106">
        <f t="shared" ca="1" si="84"/>
        <v>0</v>
      </c>
      <c r="I76" s="44">
        <f t="shared" ca="1" si="85"/>
        <v>0</v>
      </c>
      <c r="J76" s="3"/>
      <c r="K76" s="47"/>
      <c r="L76" s="50"/>
      <c r="M76" s="44">
        <f t="shared" si="86"/>
        <v>0</v>
      </c>
      <c r="N76" s="3"/>
      <c r="O76" s="47"/>
      <c r="P76" s="50"/>
      <c r="Q76" s="44">
        <f t="shared" si="87"/>
        <v>0</v>
      </c>
      <c r="R76" s="3"/>
      <c r="S76" s="47"/>
      <c r="T76" s="50"/>
      <c r="U76" s="44">
        <f t="shared" si="88"/>
        <v>0</v>
      </c>
      <c r="V76" s="3"/>
      <c r="W76" s="47"/>
      <c r="X76" s="50"/>
      <c r="Y76" s="44">
        <f t="shared" si="89"/>
        <v>0</v>
      </c>
      <c r="Z76" s="3"/>
      <c r="AA76" s="47"/>
      <c r="AB76" s="50"/>
      <c r="AC76" s="44">
        <f t="shared" si="90"/>
        <v>0</v>
      </c>
      <c r="AD76" s="3"/>
    </row>
    <row r="77" spans="1:30">
      <c r="A77" s="3"/>
      <c r="B77" s="77" t="s">
        <v>268</v>
      </c>
      <c r="C77" s="3"/>
      <c r="D77" s="3"/>
      <c r="E77" s="3"/>
      <c r="F77" s="3"/>
      <c r="G77" s="3"/>
      <c r="H77" s="3"/>
      <c r="I77" s="3"/>
      <c r="J77" s="3"/>
      <c r="K77" s="77" t="s">
        <v>268</v>
      </c>
      <c r="L77" s="3"/>
      <c r="M77" s="3"/>
      <c r="N77" s="3"/>
      <c r="O77" s="77" t="s">
        <v>268</v>
      </c>
      <c r="P77" s="3"/>
      <c r="Q77" s="3"/>
      <c r="R77" s="3"/>
      <c r="S77" s="77" t="s">
        <v>268</v>
      </c>
      <c r="T77" s="3"/>
      <c r="U77" s="3"/>
      <c r="V77" s="3"/>
      <c r="W77" s="77" t="s">
        <v>268</v>
      </c>
      <c r="X77" s="3"/>
      <c r="Y77" s="3"/>
      <c r="Z77" s="3"/>
      <c r="AA77" s="77" t="s">
        <v>268</v>
      </c>
      <c r="AB77" s="3"/>
      <c r="AC77" s="3"/>
      <c r="AD77" s="3"/>
    </row>
  </sheetData>
  <phoneticPr fontId="2" type="noConversion"/>
  <dataValidations count="1">
    <dataValidation type="list" allowBlank="1" showInputMessage="1" showErrorMessage="1" sqref="W26:W32 W4:W10 S4:S10 K15:K21 O4:O10 W59:W65 AA4:AA10 O26:O32 K26:K32 W15:W21 S26:S32 S59:S65 O59:O65 K4:K10 AA26:AA32 AA70:AA76 W48:W54 S70:S76 S37:S43 O70:O76 K48:K54 AA48:AA54 O37:O43 K37:K43 AA15:AA21 W70:W76 S48:S54 K59:K65 O48:O54 AA37:AA43 W37:W43 S15:S21 K70:K76 O15:O21 AA59:AA65" xr:uid="{00000000-0002-0000-0300-000000000000}">
      <formula1>OFFSET(INDIRECT(Foodgroup_db),,,,1)</formula1>
    </dataValidation>
  </dataValidations>
  <pageMargins left="0.75" right="0.75" top="1" bottom="1" header="0.5" footer="0.5"/>
  <pageSetup orientation="portrait" r:id="rId1"/>
  <headerFooter alignWithMargins="0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AD77"/>
  <sheetViews>
    <sheetView showZeros="0" workbookViewId="0">
      <selection activeCell="C15" sqref="C15:D15"/>
    </sheetView>
  </sheetViews>
  <sheetFormatPr defaultRowHeight="12.75"/>
  <cols>
    <col min="1" max="1" width="3.28515625" customWidth="1"/>
    <col min="2" max="2" width="26.42578125" customWidth="1"/>
    <col min="5" max="5" width="8.28515625" customWidth="1"/>
    <col min="10" max="10" width="7.42578125" customWidth="1"/>
    <col min="11" max="11" width="26.42578125" bestFit="1" customWidth="1"/>
    <col min="15" max="15" width="26.42578125" bestFit="1" customWidth="1"/>
    <col min="19" max="19" width="26.42578125" bestFit="1" customWidth="1"/>
    <col min="23" max="23" width="26.42578125" bestFit="1" customWidth="1"/>
    <col min="27" max="27" width="26.42578125" bestFit="1" customWidth="1"/>
  </cols>
  <sheetData>
    <row r="1" spans="1:30" ht="14.25" thickTop="1" thickBot="1">
      <c r="A1" s="116"/>
      <c r="B1" s="114" t="str">
        <f>Body.type&amp;" - Plan 4"</f>
        <v>Ectomorph - Plan 4</v>
      </c>
      <c r="C1" s="79"/>
      <c r="D1" s="79" t="s">
        <v>1271</v>
      </c>
      <c r="E1" s="79"/>
      <c r="F1" s="79"/>
      <c r="G1" s="79"/>
      <c r="H1" s="79"/>
      <c r="I1" s="81">
        <f ca="1">SUM(I4:I10)</f>
        <v>0</v>
      </c>
      <c r="J1" s="200">
        <f ca="1">IF(Meal.post&gt;0,ROUND(SUMIF(D1:D76,"Totals",I1:I76)-OFFSET(INDIRECT("Meal"&amp;Meal.post&amp;".1"),-3,7,1,1),),ROUND(SUMIF(D1:D65,"Totals",I1:I65),))</f>
        <v>0</v>
      </c>
      <c r="K1" s="114" t="s">
        <v>503</v>
      </c>
      <c r="L1" s="79" t="s">
        <v>1271</v>
      </c>
      <c r="M1" s="81">
        <f>SUM(M4:M10)</f>
        <v>0</v>
      </c>
      <c r="N1" s="200">
        <f ca="1">IF(Meal.post&gt;0,ROUND(SUMIF(L1:L76,"Totals",M1:M76)-OFFSET(INDIRECT("Meal"&amp;Meal.post&amp;".1"),-3,COLUMN(K:K),1,1),),ROUND(SUMIF(L1:L65,"Totals",M1:M65),))</f>
        <v>0</v>
      </c>
      <c r="O1" s="114" t="s">
        <v>504</v>
      </c>
      <c r="P1" s="79" t="s">
        <v>1271</v>
      </c>
      <c r="Q1" s="81">
        <f>SUM(Q4:Q10)</f>
        <v>0</v>
      </c>
      <c r="R1" s="200">
        <f ca="1">IF(Meal.post&gt;0,ROUND(SUMIF(P1:P76,"Totals",Q1:Q76)-OFFSET(INDIRECT("Meal"&amp;Meal.post&amp;".1"),-3,COLUMN(O:O),1,1),),ROUND(SUMIF(P1:P65,"Totals",Q1:Q65),))</f>
        <v>0</v>
      </c>
      <c r="S1" s="114" t="s">
        <v>505</v>
      </c>
      <c r="T1" s="79" t="s">
        <v>1271</v>
      </c>
      <c r="U1" s="81">
        <f>SUM(U4:U10)</f>
        <v>0</v>
      </c>
      <c r="V1" s="200">
        <f ca="1">IF(Meal.post&gt;0,ROUND(SUMIF(T1:T76,"Totals",U1:U76)-OFFSET(INDIRECT("Meal"&amp;Meal.post&amp;".1"),-3,COLUMN(S:S),1,1),),ROUND(SUMIF(T1:T65,"Totals",U1:U65),))</f>
        <v>0</v>
      </c>
      <c r="W1" s="114" t="s">
        <v>506</v>
      </c>
      <c r="X1" s="79" t="s">
        <v>1271</v>
      </c>
      <c r="Y1" s="81">
        <f>SUM(Y4:Y10)</f>
        <v>0</v>
      </c>
      <c r="Z1" s="200">
        <f ca="1">IF(Meal.post&gt;0,ROUND(SUMIF(X1:X76,"Totals",Y1:Y76)-OFFSET(INDIRECT("Meal"&amp;Meal.post&amp;".1"),-3,COLUMN(W:W),1,1),),ROUND(SUMIF(X1:X65,"Totals",Y1:Y65),))</f>
        <v>0</v>
      </c>
      <c r="AA1" s="114" t="s">
        <v>124</v>
      </c>
      <c r="AB1" s="79" t="s">
        <v>1271</v>
      </c>
      <c r="AC1" s="81">
        <f>SUM(AC4:AC10)</f>
        <v>0</v>
      </c>
      <c r="AD1" s="200">
        <f ca="1">IF(Meal.post&gt;0,ROUND(SUMIF(AB1:AB76,"Totals",AC1:AC76)-OFFSET(INDIRECT("Meal"&amp;Meal.post&amp;".1"),-3,COLUMN(AA:AA),1,1),),ROUND(SUMIF(AB1:AB65,"Totals",AC1:AC65),))</f>
        <v>0</v>
      </c>
    </row>
    <row r="2" spans="1:30" ht="13.5" thickBot="1">
      <c r="A2" s="38"/>
      <c r="B2" s="82" t="s">
        <v>1482</v>
      </c>
      <c r="C2" s="83"/>
      <c r="D2" s="83" t="s">
        <v>1270</v>
      </c>
      <c r="E2" s="83"/>
      <c r="F2" s="83"/>
      <c r="G2" s="83"/>
      <c r="H2" s="83"/>
      <c r="I2" s="83"/>
      <c r="J2" s="133">
        <f ca="1">OFFSET(INDIRECT(VLOOKUP(Body.type,Body_type,5,FALSE)),-3,3,1,1)</f>
        <v>0</v>
      </c>
      <c r="K2" s="82" t="s">
        <v>1482</v>
      </c>
      <c r="L2" s="83" t="s">
        <v>1270</v>
      </c>
      <c r="M2" s="83"/>
      <c r="N2" s="38"/>
      <c r="O2" s="82" t="s">
        <v>1482</v>
      </c>
      <c r="P2" s="83" t="s">
        <v>1270</v>
      </c>
      <c r="Q2" s="83"/>
      <c r="R2" s="38"/>
      <c r="S2" s="82" t="s">
        <v>1482</v>
      </c>
      <c r="T2" s="83" t="s">
        <v>1270</v>
      </c>
      <c r="U2" s="83"/>
      <c r="V2" s="38"/>
      <c r="W2" s="82" t="s">
        <v>1482</v>
      </c>
      <c r="X2" s="83" t="s">
        <v>1270</v>
      </c>
      <c r="Y2" s="83"/>
      <c r="Z2" s="38"/>
      <c r="AA2" s="82" t="s">
        <v>1482</v>
      </c>
      <c r="AB2" s="83" t="s">
        <v>1270</v>
      </c>
      <c r="AC2" s="83"/>
      <c r="AD2" s="38"/>
    </row>
    <row r="3" spans="1:30" ht="13.5" thickBot="1">
      <c r="A3" s="38"/>
      <c r="B3" s="16" t="s">
        <v>1269</v>
      </c>
      <c r="C3" s="37" t="str">
        <f>PROPER(units)</f>
        <v>Grams</v>
      </c>
      <c r="D3" s="37" t="str">
        <f>PROPER(units)</f>
        <v>Grams</v>
      </c>
      <c r="E3" s="37" t="s">
        <v>1275</v>
      </c>
      <c r="F3" s="37" t="s">
        <v>473</v>
      </c>
      <c r="G3" s="37" t="s">
        <v>474</v>
      </c>
      <c r="H3" s="37" t="s">
        <v>475</v>
      </c>
      <c r="I3" s="36" t="s">
        <v>1474</v>
      </c>
      <c r="J3" s="132">
        <f>Target</f>
        <v>3369.4632000000006</v>
      </c>
      <c r="K3" s="16" t="s">
        <v>1269</v>
      </c>
      <c r="L3" s="37" t="str">
        <f>PROPER(units)</f>
        <v>Grams</v>
      </c>
      <c r="M3" s="36" t="s">
        <v>1474</v>
      </c>
      <c r="N3" s="38"/>
      <c r="O3" s="16" t="s">
        <v>1269</v>
      </c>
      <c r="P3" s="37" t="str">
        <f>PROPER(units)</f>
        <v>Grams</v>
      </c>
      <c r="Q3" s="36" t="s">
        <v>1474</v>
      </c>
      <c r="R3" s="38"/>
      <c r="S3" s="16" t="s">
        <v>1269</v>
      </c>
      <c r="T3" s="37" t="str">
        <f>PROPER(units)</f>
        <v>Grams</v>
      </c>
      <c r="U3" s="36" t="s">
        <v>1474</v>
      </c>
      <c r="V3" s="38"/>
      <c r="W3" s="16" t="s">
        <v>1269</v>
      </c>
      <c r="X3" s="37" t="str">
        <f>PROPER(units)</f>
        <v>Grams</v>
      </c>
      <c r="Y3" s="36" t="s">
        <v>1474</v>
      </c>
      <c r="Z3" s="38"/>
      <c r="AA3" s="16" t="s">
        <v>1269</v>
      </c>
      <c r="AB3" s="37" t="str">
        <f>PROPER(units)</f>
        <v>Grams</v>
      </c>
      <c r="AC3" s="36" t="s">
        <v>1474</v>
      </c>
      <c r="AD3" s="38"/>
    </row>
    <row r="4" spans="1:30">
      <c r="A4" s="117">
        <v>1</v>
      </c>
      <c r="B4" s="45">
        <f t="shared" ref="B4:B10" ca="1" si="0">INDEX(INDIRECT(Body.db),A4,1)</f>
        <v>0</v>
      </c>
      <c r="C4" s="104">
        <f t="shared" ref="C4:C10" ca="1" si="1">IF(B4&gt;0,IF(G4-E4&gt;E4-H4,H4,G4),)</f>
        <v>0</v>
      </c>
      <c r="D4" s="48">
        <f t="shared" ref="D4:D10" ca="1" si="2">INDEX(INDIRECT(VLOOKUP(Body.type,Body_type,5,FALSE)),A4,2)</f>
        <v>0</v>
      </c>
      <c r="E4" s="104">
        <f t="shared" ref="E4:E10" ca="1" si="3">IF(B4&gt;0,D4*$J$4,)</f>
        <v>0</v>
      </c>
      <c r="F4" s="104">
        <f t="shared" ref="F4:F10" ca="1" si="4">IF(B4&gt;0,VLOOKUP(B4,Food_Database,9,FALSE),)</f>
        <v>0</v>
      </c>
      <c r="G4" s="104">
        <f t="shared" ref="G4:G10" ca="1" si="5">IF(B4&gt;0,CEILING(E4,F4),)</f>
        <v>0</v>
      </c>
      <c r="H4" s="104">
        <f t="shared" ref="H4:H10" ca="1" si="6">IF(B4&gt;0,FLOOR(E4,F4),)</f>
        <v>0</v>
      </c>
      <c r="I4" s="41">
        <f t="shared" ref="I4:I10" ca="1" si="7">IF(B4&gt;0,VLOOKUP(B4,Food_Database,2,FALSE)*C4/convert,)</f>
        <v>0</v>
      </c>
      <c r="J4" s="134" t="e">
        <f ca="1">J3/J2</f>
        <v>#DIV/0!</v>
      </c>
      <c r="K4" s="45"/>
      <c r="L4" s="48"/>
      <c r="M4" s="41">
        <f t="shared" ref="M4:M10" si="8">IF(K4&gt;0,VLOOKUP(K4,Food_Database,2,FALSE)*L4/convert,)</f>
        <v>0</v>
      </c>
      <c r="N4" s="38"/>
      <c r="O4" s="45"/>
      <c r="P4" s="48"/>
      <c r="Q4" s="41">
        <f t="shared" ref="Q4:Q10" si="9">IF(O4&gt;0,VLOOKUP(O4,Food_Database,2,FALSE)*P4/convert,)</f>
        <v>0</v>
      </c>
      <c r="R4" s="38"/>
      <c r="S4" s="45"/>
      <c r="T4" s="48"/>
      <c r="U4" s="41">
        <f t="shared" ref="U4:U10" si="10">IF(S4&gt;0,VLOOKUP(S4,Food_Database,2,FALSE)*T4/convert,)</f>
        <v>0</v>
      </c>
      <c r="V4" s="38"/>
      <c r="W4" s="45"/>
      <c r="X4" s="48"/>
      <c r="Y4" s="41">
        <f t="shared" ref="Y4:Y10" si="11">IF(W4&gt;0,VLOOKUP(W4,Food_Database,2,FALSE)*X4/convert,)</f>
        <v>0</v>
      </c>
      <c r="Z4" s="38"/>
      <c r="AA4" s="45"/>
      <c r="AB4" s="48"/>
      <c r="AC4" s="41">
        <f t="shared" ref="AC4:AC10" si="12">IF(AA4&gt;0,VLOOKUP(AA4,Food_Database,2,FALSE)*AB4/convert,)</f>
        <v>0</v>
      </c>
      <c r="AD4" s="38"/>
    </row>
    <row r="5" spans="1:30">
      <c r="A5" s="117">
        <v>2</v>
      </c>
      <c r="B5" s="46">
        <f t="shared" ca="1" si="0"/>
        <v>0</v>
      </c>
      <c r="C5" s="105">
        <f t="shared" ca="1" si="1"/>
        <v>0</v>
      </c>
      <c r="D5" s="49">
        <f t="shared" ca="1" si="2"/>
        <v>0</v>
      </c>
      <c r="E5" s="105">
        <f t="shared" ca="1" si="3"/>
        <v>0</v>
      </c>
      <c r="F5" s="105">
        <f t="shared" ca="1" si="4"/>
        <v>0</v>
      </c>
      <c r="G5" s="105">
        <f t="shared" ca="1" si="5"/>
        <v>0</v>
      </c>
      <c r="H5" s="105">
        <f t="shared" ca="1" si="6"/>
        <v>0</v>
      </c>
      <c r="I5" s="41">
        <f t="shared" ca="1" si="7"/>
        <v>0</v>
      </c>
      <c r="J5" s="118"/>
      <c r="K5" s="46"/>
      <c r="L5" s="49"/>
      <c r="M5" s="41">
        <f t="shared" si="8"/>
        <v>0</v>
      </c>
      <c r="N5" s="38"/>
      <c r="O5" s="46"/>
      <c r="P5" s="49"/>
      <c r="Q5" s="41">
        <f t="shared" si="9"/>
        <v>0</v>
      </c>
      <c r="R5" s="38"/>
      <c r="S5" s="46"/>
      <c r="T5" s="49"/>
      <c r="U5" s="41">
        <f t="shared" si="10"/>
        <v>0</v>
      </c>
      <c r="V5" s="38"/>
      <c r="W5" s="46"/>
      <c r="X5" s="49"/>
      <c r="Y5" s="41">
        <f t="shared" si="11"/>
        <v>0</v>
      </c>
      <c r="Z5" s="38"/>
      <c r="AA5" s="46"/>
      <c r="AB5" s="49"/>
      <c r="AC5" s="41">
        <f t="shared" si="12"/>
        <v>0</v>
      </c>
      <c r="AD5" s="38"/>
    </row>
    <row r="6" spans="1:30">
      <c r="A6" s="117">
        <v>3</v>
      </c>
      <c r="B6" s="46">
        <f t="shared" ca="1" si="0"/>
        <v>0</v>
      </c>
      <c r="C6" s="105">
        <f t="shared" ca="1" si="1"/>
        <v>0</v>
      </c>
      <c r="D6" s="49">
        <f t="shared" ca="1" si="2"/>
        <v>0</v>
      </c>
      <c r="E6" s="105">
        <f t="shared" ca="1" si="3"/>
        <v>0</v>
      </c>
      <c r="F6" s="105">
        <f t="shared" ca="1" si="4"/>
        <v>0</v>
      </c>
      <c r="G6" s="105">
        <f t="shared" ca="1" si="5"/>
        <v>0</v>
      </c>
      <c r="H6" s="105">
        <f t="shared" ca="1" si="6"/>
        <v>0</v>
      </c>
      <c r="I6" s="41">
        <f t="shared" ca="1" si="7"/>
        <v>0</v>
      </c>
      <c r="J6" s="38"/>
      <c r="K6" s="46"/>
      <c r="L6" s="49"/>
      <c r="M6" s="41">
        <f t="shared" si="8"/>
        <v>0</v>
      </c>
      <c r="N6" s="38"/>
      <c r="O6" s="46"/>
      <c r="P6" s="49"/>
      <c r="Q6" s="41">
        <f t="shared" si="9"/>
        <v>0</v>
      </c>
      <c r="R6" s="38"/>
      <c r="S6" s="46"/>
      <c r="T6" s="49"/>
      <c r="U6" s="41">
        <f t="shared" si="10"/>
        <v>0</v>
      </c>
      <c r="V6" s="38"/>
      <c r="W6" s="46"/>
      <c r="X6" s="49"/>
      <c r="Y6" s="41">
        <f t="shared" si="11"/>
        <v>0</v>
      </c>
      <c r="Z6" s="38"/>
      <c r="AA6" s="46"/>
      <c r="AB6" s="49"/>
      <c r="AC6" s="41">
        <f t="shared" si="12"/>
        <v>0</v>
      </c>
      <c r="AD6" s="38"/>
    </row>
    <row r="7" spans="1:30">
      <c r="A7" s="117">
        <v>4</v>
      </c>
      <c r="B7" s="46">
        <f t="shared" ca="1" si="0"/>
        <v>0</v>
      </c>
      <c r="C7" s="105">
        <f t="shared" ca="1" si="1"/>
        <v>0</v>
      </c>
      <c r="D7" s="49">
        <f t="shared" ca="1" si="2"/>
        <v>0</v>
      </c>
      <c r="E7" s="105">
        <f t="shared" ca="1" si="3"/>
        <v>0</v>
      </c>
      <c r="F7" s="105">
        <f t="shared" ca="1" si="4"/>
        <v>0</v>
      </c>
      <c r="G7" s="105">
        <f t="shared" ca="1" si="5"/>
        <v>0</v>
      </c>
      <c r="H7" s="105">
        <f t="shared" ca="1" si="6"/>
        <v>0</v>
      </c>
      <c r="I7" s="41">
        <f t="shared" ca="1" si="7"/>
        <v>0</v>
      </c>
      <c r="J7" s="38"/>
      <c r="K7" s="46"/>
      <c r="L7" s="49"/>
      <c r="M7" s="41">
        <f t="shared" si="8"/>
        <v>0</v>
      </c>
      <c r="N7" s="38"/>
      <c r="O7" s="46"/>
      <c r="P7" s="49"/>
      <c r="Q7" s="41">
        <f t="shared" si="9"/>
        <v>0</v>
      </c>
      <c r="R7" s="38"/>
      <c r="S7" s="46"/>
      <c r="T7" s="49"/>
      <c r="U7" s="41">
        <f t="shared" si="10"/>
        <v>0</v>
      </c>
      <c r="V7" s="38"/>
      <c r="W7" s="46"/>
      <c r="X7" s="49"/>
      <c r="Y7" s="41">
        <f t="shared" si="11"/>
        <v>0</v>
      </c>
      <c r="Z7" s="38"/>
      <c r="AA7" s="46"/>
      <c r="AB7" s="49"/>
      <c r="AC7" s="41">
        <f t="shared" si="12"/>
        <v>0</v>
      </c>
      <c r="AD7" s="38"/>
    </row>
    <row r="8" spans="1:30">
      <c r="A8" s="117">
        <v>5</v>
      </c>
      <c r="B8" s="46">
        <f t="shared" ca="1" si="0"/>
        <v>0</v>
      </c>
      <c r="C8" s="105">
        <f t="shared" ca="1" si="1"/>
        <v>0</v>
      </c>
      <c r="D8" s="49">
        <f t="shared" ca="1" si="2"/>
        <v>0</v>
      </c>
      <c r="E8" s="105">
        <f t="shared" ca="1" si="3"/>
        <v>0</v>
      </c>
      <c r="F8" s="105">
        <f t="shared" ca="1" si="4"/>
        <v>0</v>
      </c>
      <c r="G8" s="105">
        <f t="shared" ca="1" si="5"/>
        <v>0</v>
      </c>
      <c r="H8" s="105">
        <f t="shared" ca="1" si="6"/>
        <v>0</v>
      </c>
      <c r="I8" s="41">
        <f t="shared" ca="1" si="7"/>
        <v>0</v>
      </c>
      <c r="J8" s="3"/>
      <c r="K8" s="46"/>
      <c r="L8" s="49"/>
      <c r="M8" s="41">
        <f t="shared" si="8"/>
        <v>0</v>
      </c>
      <c r="N8" s="3"/>
      <c r="O8" s="46"/>
      <c r="P8" s="49"/>
      <c r="Q8" s="41">
        <f t="shared" si="9"/>
        <v>0</v>
      </c>
      <c r="R8" s="3"/>
      <c r="S8" s="46"/>
      <c r="T8" s="49"/>
      <c r="U8" s="41">
        <f t="shared" si="10"/>
        <v>0</v>
      </c>
      <c r="V8" s="3"/>
      <c r="W8" s="46"/>
      <c r="X8" s="49"/>
      <c r="Y8" s="41">
        <f t="shared" si="11"/>
        <v>0</v>
      </c>
      <c r="Z8" s="3"/>
      <c r="AA8" s="46"/>
      <c r="AB8" s="49"/>
      <c r="AC8" s="41">
        <f t="shared" si="12"/>
        <v>0</v>
      </c>
      <c r="AD8" s="3"/>
    </row>
    <row r="9" spans="1:30">
      <c r="A9" s="117">
        <v>6</v>
      </c>
      <c r="B9" s="46">
        <f t="shared" ca="1" si="0"/>
        <v>0</v>
      </c>
      <c r="C9" s="105">
        <f t="shared" ca="1" si="1"/>
        <v>0</v>
      </c>
      <c r="D9" s="49">
        <f t="shared" ca="1" si="2"/>
        <v>0</v>
      </c>
      <c r="E9" s="105">
        <f t="shared" ca="1" si="3"/>
        <v>0</v>
      </c>
      <c r="F9" s="105">
        <f t="shared" ca="1" si="4"/>
        <v>0</v>
      </c>
      <c r="G9" s="105">
        <f t="shared" ca="1" si="5"/>
        <v>0</v>
      </c>
      <c r="H9" s="105">
        <f t="shared" ca="1" si="6"/>
        <v>0</v>
      </c>
      <c r="I9" s="41">
        <f t="shared" ca="1" si="7"/>
        <v>0</v>
      </c>
      <c r="J9" s="4"/>
      <c r="K9" s="46"/>
      <c r="L9" s="49"/>
      <c r="M9" s="41">
        <f t="shared" si="8"/>
        <v>0</v>
      </c>
      <c r="N9" s="4"/>
      <c r="O9" s="46"/>
      <c r="P9" s="49"/>
      <c r="Q9" s="41">
        <f t="shared" si="9"/>
        <v>0</v>
      </c>
      <c r="R9" s="4"/>
      <c r="S9" s="46"/>
      <c r="T9" s="49"/>
      <c r="U9" s="41">
        <f t="shared" si="10"/>
        <v>0</v>
      </c>
      <c r="V9" s="4"/>
      <c r="W9" s="46"/>
      <c r="X9" s="49"/>
      <c r="Y9" s="41">
        <f t="shared" si="11"/>
        <v>0</v>
      </c>
      <c r="Z9" s="4"/>
      <c r="AA9" s="46"/>
      <c r="AB9" s="49"/>
      <c r="AC9" s="41">
        <f t="shared" si="12"/>
        <v>0</v>
      </c>
      <c r="AD9" s="4"/>
    </row>
    <row r="10" spans="1:30" ht="13.5" thickBot="1">
      <c r="A10" s="117">
        <v>7</v>
      </c>
      <c r="B10" s="47">
        <f t="shared" ca="1" si="0"/>
        <v>0</v>
      </c>
      <c r="C10" s="106">
        <f t="shared" ca="1" si="1"/>
        <v>0</v>
      </c>
      <c r="D10" s="50">
        <f t="shared" ca="1" si="2"/>
        <v>0</v>
      </c>
      <c r="E10" s="106">
        <f t="shared" ca="1" si="3"/>
        <v>0</v>
      </c>
      <c r="F10" s="106">
        <f t="shared" ca="1" si="4"/>
        <v>0</v>
      </c>
      <c r="G10" s="106">
        <f t="shared" ca="1" si="5"/>
        <v>0</v>
      </c>
      <c r="H10" s="106">
        <f t="shared" ca="1" si="6"/>
        <v>0</v>
      </c>
      <c r="I10" s="44">
        <f t="shared" ca="1" si="7"/>
        <v>0</v>
      </c>
      <c r="J10" s="3"/>
      <c r="K10" s="47"/>
      <c r="L10" s="50"/>
      <c r="M10" s="44">
        <f t="shared" si="8"/>
        <v>0</v>
      </c>
      <c r="N10" s="3"/>
      <c r="O10" s="47"/>
      <c r="P10" s="50"/>
      <c r="Q10" s="44">
        <f t="shared" si="9"/>
        <v>0</v>
      </c>
      <c r="R10" s="3"/>
      <c r="S10" s="47"/>
      <c r="T10" s="50"/>
      <c r="U10" s="44">
        <f t="shared" si="10"/>
        <v>0</v>
      </c>
      <c r="V10" s="3"/>
      <c r="W10" s="47"/>
      <c r="X10" s="50"/>
      <c r="Y10" s="44">
        <f t="shared" si="11"/>
        <v>0</v>
      </c>
      <c r="Z10" s="3"/>
      <c r="AA10" s="47"/>
      <c r="AB10" s="50"/>
      <c r="AC10" s="44">
        <f t="shared" si="12"/>
        <v>0</v>
      </c>
      <c r="AD10" s="3"/>
    </row>
    <row r="11" spans="1:30" ht="13.5" thickBot="1">
      <c r="A11" s="117">
        <v>8</v>
      </c>
      <c r="B11" s="77" t="s">
        <v>268</v>
      </c>
      <c r="C11" s="3"/>
      <c r="D11" s="3"/>
      <c r="E11" s="3"/>
      <c r="F11" s="3"/>
      <c r="G11" s="3"/>
      <c r="H11" s="3"/>
      <c r="I11" s="3"/>
      <c r="J11" s="3"/>
      <c r="K11" s="77" t="s">
        <v>268</v>
      </c>
      <c r="L11" s="3"/>
      <c r="M11" s="3"/>
      <c r="N11" s="3"/>
      <c r="O11" s="77" t="s">
        <v>268</v>
      </c>
      <c r="P11" s="3"/>
      <c r="Q11" s="3"/>
      <c r="R11" s="3"/>
      <c r="S11" s="77" t="s">
        <v>268</v>
      </c>
      <c r="T11" s="3"/>
      <c r="U11" s="3"/>
      <c r="V11" s="3"/>
      <c r="W11" s="77" t="s">
        <v>268</v>
      </c>
      <c r="X11" s="3"/>
      <c r="Y11" s="3"/>
      <c r="Z11" s="3"/>
      <c r="AA11" s="77" t="s">
        <v>268</v>
      </c>
      <c r="AB11" s="3"/>
      <c r="AC11" s="3"/>
      <c r="AD11" s="3"/>
    </row>
    <row r="12" spans="1:30" ht="14.25" thickTop="1" thickBot="1">
      <c r="A12" s="117">
        <v>9</v>
      </c>
      <c r="B12" s="78"/>
      <c r="C12" s="79"/>
      <c r="D12" s="79" t="s">
        <v>1271</v>
      </c>
      <c r="E12" s="79"/>
      <c r="F12" s="79"/>
      <c r="G12" s="79"/>
      <c r="H12" s="79"/>
      <c r="I12" s="81">
        <f ca="1">SUM(I15:I21)</f>
        <v>0</v>
      </c>
      <c r="J12" s="3"/>
      <c r="K12" s="78"/>
      <c r="L12" s="79" t="s">
        <v>1271</v>
      </c>
      <c r="M12" s="81">
        <f>SUM(M15:M21)</f>
        <v>0</v>
      </c>
      <c r="N12" s="3"/>
      <c r="O12" s="78"/>
      <c r="P12" s="79" t="s">
        <v>1271</v>
      </c>
      <c r="Q12" s="81">
        <f>SUM(Q15:Q21)</f>
        <v>0</v>
      </c>
      <c r="R12" s="3"/>
      <c r="S12" s="78"/>
      <c r="T12" s="79" t="s">
        <v>1271</v>
      </c>
      <c r="U12" s="81">
        <f>SUM(U15:U21)</f>
        <v>0</v>
      </c>
      <c r="V12" s="3"/>
      <c r="W12" s="78"/>
      <c r="X12" s="79" t="s">
        <v>1271</v>
      </c>
      <c r="Y12" s="81">
        <f>SUM(Y15:Y21)</f>
        <v>0</v>
      </c>
      <c r="Z12" s="3"/>
      <c r="AA12" s="78"/>
      <c r="AB12" s="79" t="s">
        <v>1271</v>
      </c>
      <c r="AC12" s="81">
        <f>SUM(AC15:AC21)</f>
        <v>0</v>
      </c>
      <c r="AD12" s="3"/>
    </row>
    <row r="13" spans="1:30" ht="13.5" thickBot="1">
      <c r="A13" s="117">
        <v>10</v>
      </c>
      <c r="B13" s="82" t="s">
        <v>200</v>
      </c>
      <c r="C13" s="83"/>
      <c r="D13" s="83" t="s">
        <v>1270</v>
      </c>
      <c r="E13" s="83"/>
      <c r="F13" s="83"/>
      <c r="G13" s="83"/>
      <c r="H13" s="83"/>
      <c r="I13" s="83"/>
      <c r="J13" s="3"/>
      <c r="K13" s="82" t="s">
        <v>1479</v>
      </c>
      <c r="L13" s="83" t="s">
        <v>1270</v>
      </c>
      <c r="M13" s="83"/>
      <c r="N13" s="3"/>
      <c r="O13" s="82" t="s">
        <v>1479</v>
      </c>
      <c r="P13" s="83" t="s">
        <v>1270</v>
      </c>
      <c r="Q13" s="83"/>
      <c r="R13" s="3"/>
      <c r="S13" s="82" t="s">
        <v>1479</v>
      </c>
      <c r="T13" s="83" t="s">
        <v>1270</v>
      </c>
      <c r="U13" s="83"/>
      <c r="V13" s="3"/>
      <c r="W13" s="82" t="s">
        <v>1479</v>
      </c>
      <c r="X13" s="83" t="s">
        <v>1270</v>
      </c>
      <c r="Y13" s="83"/>
      <c r="Z13" s="3"/>
      <c r="AA13" s="82" t="s">
        <v>1479</v>
      </c>
      <c r="AB13" s="83" t="s">
        <v>1270</v>
      </c>
      <c r="AC13" s="83"/>
      <c r="AD13" s="3"/>
    </row>
    <row r="14" spans="1:30" ht="13.5" thickBot="1">
      <c r="A14" s="117">
        <v>11</v>
      </c>
      <c r="B14" s="16" t="s">
        <v>1269</v>
      </c>
      <c r="C14" s="37"/>
      <c r="D14" s="37" t="str">
        <f>PROPER(units)</f>
        <v>Grams</v>
      </c>
      <c r="E14" s="37"/>
      <c r="F14" s="37"/>
      <c r="G14" s="37"/>
      <c r="H14" s="37"/>
      <c r="I14" s="36" t="s">
        <v>1474</v>
      </c>
      <c r="J14" s="3"/>
      <c r="K14" s="16" t="s">
        <v>1269</v>
      </c>
      <c r="L14" s="37" t="str">
        <f>PROPER(units)</f>
        <v>Grams</v>
      </c>
      <c r="M14" s="36" t="s">
        <v>1474</v>
      </c>
      <c r="N14" s="3"/>
      <c r="O14" s="16" t="s">
        <v>1269</v>
      </c>
      <c r="P14" s="37" t="str">
        <f>PROPER(units)</f>
        <v>Grams</v>
      </c>
      <c r="Q14" s="36" t="s">
        <v>1474</v>
      </c>
      <c r="R14" s="3"/>
      <c r="S14" s="16" t="s">
        <v>1269</v>
      </c>
      <c r="T14" s="37" t="str">
        <f>PROPER(units)</f>
        <v>Grams</v>
      </c>
      <c r="U14" s="36" t="s">
        <v>1474</v>
      </c>
      <c r="V14" s="3"/>
      <c r="W14" s="16" t="s">
        <v>1269</v>
      </c>
      <c r="X14" s="37" t="str">
        <f>PROPER(units)</f>
        <v>Grams</v>
      </c>
      <c r="Y14" s="36" t="s">
        <v>1474</v>
      </c>
      <c r="Z14" s="3"/>
      <c r="AA14" s="16" t="s">
        <v>1269</v>
      </c>
      <c r="AB14" s="37" t="str">
        <f>PROPER(units)</f>
        <v>Grams</v>
      </c>
      <c r="AC14" s="36" t="s">
        <v>1474</v>
      </c>
      <c r="AD14" s="3"/>
    </row>
    <row r="15" spans="1:30">
      <c r="A15" s="117">
        <v>12</v>
      </c>
      <c r="B15" s="45">
        <f t="shared" ref="B15:B21" ca="1" si="13">INDEX(INDIRECT(Body.db),A15,1)</f>
        <v>0</v>
      </c>
      <c r="C15" s="104">
        <f t="shared" ref="C15:C21" ca="1" si="14">IF(B15&gt;0,IF(G15-E15&gt;E15-H15,H15,G15),)</f>
        <v>0</v>
      </c>
      <c r="D15" s="48">
        <f t="shared" ref="D15:D21" ca="1" si="15">INDEX(INDIRECT(VLOOKUP(Body.type,Body_type,5,FALSE)),A15,2)</f>
        <v>0</v>
      </c>
      <c r="E15" s="104">
        <f t="shared" ref="E15:E21" ca="1" si="16">IF(B15&gt;0,D15*$J$4,)</f>
        <v>0</v>
      </c>
      <c r="F15" s="104">
        <f t="shared" ref="F15:F21" ca="1" si="17">IF(B15&gt;0,VLOOKUP(B15,Food_Database,9,FALSE),)</f>
        <v>0</v>
      </c>
      <c r="G15" s="104">
        <f t="shared" ref="G15:G21" ca="1" si="18">IF(B15&gt;0,CEILING(E15,F15),)</f>
        <v>0</v>
      </c>
      <c r="H15" s="104">
        <f t="shared" ref="H15:H21" ca="1" si="19">IF(B15&gt;0,FLOOR(E15,F15),)</f>
        <v>0</v>
      </c>
      <c r="I15" s="41">
        <f t="shared" ref="I15:I21" ca="1" si="20">IF(B15&gt;0,VLOOKUP(B15,Food_Database,2,FALSE)*C15/convert,)</f>
        <v>0</v>
      </c>
      <c r="J15" s="3"/>
      <c r="K15" s="45"/>
      <c r="L15" s="48"/>
      <c r="M15" s="41">
        <f t="shared" ref="M15:M21" si="21">IF(K15&gt;0,VLOOKUP(K15,Food_Database,2,FALSE)*L15/convert,)</f>
        <v>0</v>
      </c>
      <c r="N15" s="3"/>
      <c r="O15" s="45"/>
      <c r="P15" s="48"/>
      <c r="Q15" s="41">
        <f t="shared" ref="Q15:Q21" si="22">IF(O15&gt;0,VLOOKUP(O15,Food_Database,2,FALSE)*P15/convert,)</f>
        <v>0</v>
      </c>
      <c r="R15" s="3"/>
      <c r="S15" s="45"/>
      <c r="T15" s="48"/>
      <c r="U15" s="41">
        <f t="shared" ref="U15:U21" si="23">IF(S15&gt;0,VLOOKUP(S15,Food_Database,2,FALSE)*T15/convert,)</f>
        <v>0</v>
      </c>
      <c r="V15" s="3"/>
      <c r="W15" s="45"/>
      <c r="X15" s="48"/>
      <c r="Y15" s="41">
        <f t="shared" ref="Y15:Y21" si="24">IF(W15&gt;0,VLOOKUP(W15,Food_Database,2,FALSE)*X15/convert,)</f>
        <v>0</v>
      </c>
      <c r="Z15" s="3"/>
      <c r="AA15" s="45"/>
      <c r="AB15" s="48"/>
      <c r="AC15" s="41">
        <f t="shared" ref="AC15:AC21" si="25">IF(AA15&gt;0,VLOOKUP(AA15,Food_Database,2,FALSE)*AB15/convert,)</f>
        <v>0</v>
      </c>
      <c r="AD15" s="3"/>
    </row>
    <row r="16" spans="1:30">
      <c r="A16" s="117">
        <v>13</v>
      </c>
      <c r="B16" s="46">
        <f t="shared" ca="1" si="13"/>
        <v>0</v>
      </c>
      <c r="C16" s="105">
        <f t="shared" ca="1" si="14"/>
        <v>0</v>
      </c>
      <c r="D16" s="49">
        <f t="shared" ca="1" si="15"/>
        <v>0</v>
      </c>
      <c r="E16" s="105">
        <f t="shared" ca="1" si="16"/>
        <v>0</v>
      </c>
      <c r="F16" s="105">
        <f t="shared" ca="1" si="17"/>
        <v>0</v>
      </c>
      <c r="G16" s="105">
        <f t="shared" ca="1" si="18"/>
        <v>0</v>
      </c>
      <c r="H16" s="105">
        <f t="shared" ca="1" si="19"/>
        <v>0</v>
      </c>
      <c r="I16" s="41">
        <f t="shared" ca="1" si="20"/>
        <v>0</v>
      </c>
      <c r="J16" s="3"/>
      <c r="K16" s="46"/>
      <c r="L16" s="49"/>
      <c r="M16" s="41">
        <f t="shared" si="21"/>
        <v>0</v>
      </c>
      <c r="N16" s="3"/>
      <c r="O16" s="46"/>
      <c r="P16" s="49"/>
      <c r="Q16" s="41">
        <f t="shared" si="22"/>
        <v>0</v>
      </c>
      <c r="R16" s="3"/>
      <c r="S16" s="46"/>
      <c r="T16" s="49"/>
      <c r="U16" s="41">
        <f t="shared" si="23"/>
        <v>0</v>
      </c>
      <c r="V16" s="3"/>
      <c r="W16" s="46"/>
      <c r="X16" s="49"/>
      <c r="Y16" s="41">
        <f t="shared" si="24"/>
        <v>0</v>
      </c>
      <c r="Z16" s="3"/>
      <c r="AA16" s="46"/>
      <c r="AB16" s="49"/>
      <c r="AC16" s="41">
        <f t="shared" si="25"/>
        <v>0</v>
      </c>
      <c r="AD16" s="3"/>
    </row>
    <row r="17" spans="1:30">
      <c r="A17" s="117">
        <v>14</v>
      </c>
      <c r="B17" s="46">
        <f t="shared" ca="1" si="13"/>
        <v>0</v>
      </c>
      <c r="C17" s="105">
        <f t="shared" ca="1" si="14"/>
        <v>0</v>
      </c>
      <c r="D17" s="49">
        <f t="shared" ca="1" si="15"/>
        <v>0</v>
      </c>
      <c r="E17" s="105">
        <f t="shared" ca="1" si="16"/>
        <v>0</v>
      </c>
      <c r="F17" s="105">
        <f t="shared" ca="1" si="17"/>
        <v>0</v>
      </c>
      <c r="G17" s="105">
        <f t="shared" ca="1" si="18"/>
        <v>0</v>
      </c>
      <c r="H17" s="105">
        <f t="shared" ca="1" si="19"/>
        <v>0</v>
      </c>
      <c r="I17" s="41">
        <f t="shared" ca="1" si="20"/>
        <v>0</v>
      </c>
      <c r="J17" s="3"/>
      <c r="K17" s="46"/>
      <c r="L17" s="49"/>
      <c r="M17" s="41">
        <f t="shared" si="21"/>
        <v>0</v>
      </c>
      <c r="N17" s="3"/>
      <c r="O17" s="46"/>
      <c r="P17" s="49"/>
      <c r="Q17" s="41">
        <f t="shared" si="22"/>
        <v>0</v>
      </c>
      <c r="R17" s="3"/>
      <c r="S17" s="46"/>
      <c r="T17" s="49"/>
      <c r="U17" s="41">
        <f t="shared" si="23"/>
        <v>0</v>
      </c>
      <c r="V17" s="3"/>
      <c r="W17" s="46"/>
      <c r="X17" s="49"/>
      <c r="Y17" s="41">
        <f t="shared" si="24"/>
        <v>0</v>
      </c>
      <c r="Z17" s="3"/>
      <c r="AA17" s="46"/>
      <c r="AB17" s="49"/>
      <c r="AC17" s="41">
        <f t="shared" si="25"/>
        <v>0</v>
      </c>
      <c r="AD17" s="3"/>
    </row>
    <row r="18" spans="1:30">
      <c r="A18" s="117">
        <v>15</v>
      </c>
      <c r="B18" s="46">
        <f t="shared" ca="1" si="13"/>
        <v>0</v>
      </c>
      <c r="C18" s="105">
        <f t="shared" ca="1" si="14"/>
        <v>0</v>
      </c>
      <c r="D18" s="49">
        <f t="shared" ca="1" si="15"/>
        <v>0</v>
      </c>
      <c r="E18" s="105">
        <f t="shared" ca="1" si="16"/>
        <v>0</v>
      </c>
      <c r="F18" s="105">
        <f t="shared" ca="1" si="17"/>
        <v>0</v>
      </c>
      <c r="G18" s="105">
        <f t="shared" ca="1" si="18"/>
        <v>0</v>
      </c>
      <c r="H18" s="105">
        <f t="shared" ca="1" si="19"/>
        <v>0</v>
      </c>
      <c r="I18" s="41">
        <f t="shared" ca="1" si="20"/>
        <v>0</v>
      </c>
      <c r="J18" s="3"/>
      <c r="K18" s="46"/>
      <c r="L18" s="49"/>
      <c r="M18" s="41">
        <f t="shared" si="21"/>
        <v>0</v>
      </c>
      <c r="N18" s="3"/>
      <c r="O18" s="46"/>
      <c r="P18" s="49"/>
      <c r="Q18" s="41">
        <f t="shared" si="22"/>
        <v>0</v>
      </c>
      <c r="R18" s="3"/>
      <c r="S18" s="46"/>
      <c r="T18" s="49"/>
      <c r="U18" s="41">
        <f t="shared" si="23"/>
        <v>0</v>
      </c>
      <c r="V18" s="3"/>
      <c r="W18" s="46"/>
      <c r="X18" s="49"/>
      <c r="Y18" s="41">
        <f t="shared" si="24"/>
        <v>0</v>
      </c>
      <c r="Z18" s="3"/>
      <c r="AA18" s="46"/>
      <c r="AB18" s="49"/>
      <c r="AC18" s="41">
        <f t="shared" si="25"/>
        <v>0</v>
      </c>
      <c r="AD18" s="3"/>
    </row>
    <row r="19" spans="1:30">
      <c r="A19" s="117">
        <v>16</v>
      </c>
      <c r="B19" s="46">
        <f t="shared" ca="1" si="13"/>
        <v>0</v>
      </c>
      <c r="C19" s="105">
        <f t="shared" ca="1" si="14"/>
        <v>0</v>
      </c>
      <c r="D19" s="49">
        <f t="shared" ca="1" si="15"/>
        <v>0</v>
      </c>
      <c r="E19" s="105">
        <f t="shared" ca="1" si="16"/>
        <v>0</v>
      </c>
      <c r="F19" s="105">
        <f t="shared" ca="1" si="17"/>
        <v>0</v>
      </c>
      <c r="G19" s="105">
        <f t="shared" ca="1" si="18"/>
        <v>0</v>
      </c>
      <c r="H19" s="105">
        <f t="shared" ca="1" si="19"/>
        <v>0</v>
      </c>
      <c r="I19" s="41">
        <f t="shared" ca="1" si="20"/>
        <v>0</v>
      </c>
      <c r="J19" s="3"/>
      <c r="K19" s="46"/>
      <c r="L19" s="49"/>
      <c r="M19" s="41">
        <f t="shared" si="21"/>
        <v>0</v>
      </c>
      <c r="N19" s="3"/>
      <c r="O19" s="46"/>
      <c r="P19" s="49"/>
      <c r="Q19" s="41">
        <f t="shared" si="22"/>
        <v>0</v>
      </c>
      <c r="R19" s="3"/>
      <c r="S19" s="46"/>
      <c r="T19" s="49"/>
      <c r="U19" s="41">
        <f t="shared" si="23"/>
        <v>0</v>
      </c>
      <c r="V19" s="3"/>
      <c r="W19" s="46"/>
      <c r="X19" s="49"/>
      <c r="Y19" s="41">
        <f t="shared" si="24"/>
        <v>0</v>
      </c>
      <c r="Z19" s="3"/>
      <c r="AA19" s="46"/>
      <c r="AB19" s="49"/>
      <c r="AC19" s="41">
        <f t="shared" si="25"/>
        <v>0</v>
      </c>
      <c r="AD19" s="3"/>
    </row>
    <row r="20" spans="1:30">
      <c r="A20" s="117">
        <v>17</v>
      </c>
      <c r="B20" s="46">
        <f t="shared" ca="1" si="13"/>
        <v>0</v>
      </c>
      <c r="C20" s="105">
        <f t="shared" ca="1" si="14"/>
        <v>0</v>
      </c>
      <c r="D20" s="49">
        <f t="shared" ca="1" si="15"/>
        <v>0</v>
      </c>
      <c r="E20" s="105">
        <f t="shared" ca="1" si="16"/>
        <v>0</v>
      </c>
      <c r="F20" s="105">
        <f t="shared" ca="1" si="17"/>
        <v>0</v>
      </c>
      <c r="G20" s="105">
        <f t="shared" ca="1" si="18"/>
        <v>0</v>
      </c>
      <c r="H20" s="105">
        <f t="shared" ca="1" si="19"/>
        <v>0</v>
      </c>
      <c r="I20" s="41">
        <f t="shared" ca="1" si="20"/>
        <v>0</v>
      </c>
      <c r="J20" s="3"/>
      <c r="K20" s="46"/>
      <c r="L20" s="49"/>
      <c r="M20" s="41">
        <f t="shared" si="21"/>
        <v>0</v>
      </c>
      <c r="N20" s="3"/>
      <c r="O20" s="46"/>
      <c r="P20" s="49"/>
      <c r="Q20" s="41">
        <f t="shared" si="22"/>
        <v>0</v>
      </c>
      <c r="R20" s="3"/>
      <c r="S20" s="46"/>
      <c r="T20" s="49"/>
      <c r="U20" s="41">
        <f t="shared" si="23"/>
        <v>0</v>
      </c>
      <c r="V20" s="3"/>
      <c r="W20" s="46"/>
      <c r="X20" s="49"/>
      <c r="Y20" s="41">
        <f t="shared" si="24"/>
        <v>0</v>
      </c>
      <c r="Z20" s="3"/>
      <c r="AA20" s="46"/>
      <c r="AB20" s="49"/>
      <c r="AC20" s="41">
        <f t="shared" si="25"/>
        <v>0</v>
      </c>
      <c r="AD20" s="3"/>
    </row>
    <row r="21" spans="1:30" ht="13.5" thickBot="1">
      <c r="A21" s="117">
        <v>18</v>
      </c>
      <c r="B21" s="47">
        <f t="shared" ca="1" si="13"/>
        <v>0</v>
      </c>
      <c r="C21" s="106">
        <f t="shared" ca="1" si="14"/>
        <v>0</v>
      </c>
      <c r="D21" s="50">
        <f t="shared" ca="1" si="15"/>
        <v>0</v>
      </c>
      <c r="E21" s="106">
        <f t="shared" ca="1" si="16"/>
        <v>0</v>
      </c>
      <c r="F21" s="106">
        <f t="shared" ca="1" si="17"/>
        <v>0</v>
      </c>
      <c r="G21" s="106">
        <f t="shared" ca="1" si="18"/>
        <v>0</v>
      </c>
      <c r="H21" s="106">
        <f t="shared" ca="1" si="19"/>
        <v>0</v>
      </c>
      <c r="I21" s="44">
        <f t="shared" ca="1" si="20"/>
        <v>0</v>
      </c>
      <c r="J21" s="3"/>
      <c r="K21" s="47"/>
      <c r="L21" s="50"/>
      <c r="M21" s="44">
        <f t="shared" si="21"/>
        <v>0</v>
      </c>
      <c r="N21" s="3"/>
      <c r="O21" s="47"/>
      <c r="P21" s="50"/>
      <c r="Q21" s="44">
        <f t="shared" si="22"/>
        <v>0</v>
      </c>
      <c r="R21" s="3"/>
      <c r="S21" s="47"/>
      <c r="T21" s="50"/>
      <c r="U21" s="44">
        <f t="shared" si="23"/>
        <v>0</v>
      </c>
      <c r="V21" s="3"/>
      <c r="W21" s="47"/>
      <c r="X21" s="50"/>
      <c r="Y21" s="44">
        <f t="shared" si="24"/>
        <v>0</v>
      </c>
      <c r="Z21" s="3"/>
      <c r="AA21" s="47"/>
      <c r="AB21" s="50"/>
      <c r="AC21" s="44">
        <f t="shared" si="25"/>
        <v>0</v>
      </c>
      <c r="AD21" s="3"/>
    </row>
    <row r="22" spans="1:30" ht="13.5" thickBot="1">
      <c r="A22" s="117">
        <v>19</v>
      </c>
      <c r="B22" s="77" t="s">
        <v>268</v>
      </c>
      <c r="C22" s="3"/>
      <c r="D22" s="3"/>
      <c r="E22" s="3"/>
      <c r="F22" s="3"/>
      <c r="G22" s="3"/>
      <c r="H22" s="3"/>
      <c r="I22" s="3"/>
      <c r="J22" s="3"/>
      <c r="K22" s="77" t="s">
        <v>268</v>
      </c>
      <c r="L22" s="3"/>
      <c r="M22" s="3"/>
      <c r="N22" s="3"/>
      <c r="O22" s="77" t="s">
        <v>268</v>
      </c>
      <c r="P22" s="3"/>
      <c r="Q22" s="3"/>
      <c r="R22" s="3"/>
      <c r="S22" s="77" t="s">
        <v>268</v>
      </c>
      <c r="T22" s="3"/>
      <c r="U22" s="3"/>
      <c r="V22" s="3"/>
      <c r="W22" s="77" t="s">
        <v>268</v>
      </c>
      <c r="X22" s="3"/>
      <c r="Y22" s="3"/>
      <c r="Z22" s="3"/>
      <c r="AA22" s="77" t="s">
        <v>268</v>
      </c>
      <c r="AB22" s="3"/>
      <c r="AC22" s="3"/>
      <c r="AD22" s="3"/>
    </row>
    <row r="23" spans="1:30" ht="14.25" thickTop="1" thickBot="1">
      <c r="A23" s="117">
        <v>20</v>
      </c>
      <c r="B23" s="78"/>
      <c r="C23" s="79"/>
      <c r="D23" s="79" t="s">
        <v>1271</v>
      </c>
      <c r="E23" s="79"/>
      <c r="F23" s="79"/>
      <c r="G23" s="79"/>
      <c r="H23" s="79"/>
      <c r="I23" s="81">
        <f ca="1">SUM(I26:I32)</f>
        <v>0</v>
      </c>
      <c r="J23" s="3"/>
      <c r="K23" s="78"/>
      <c r="L23" s="79" t="s">
        <v>1271</v>
      </c>
      <c r="M23" s="81">
        <f>SUM(M26:M32)</f>
        <v>0</v>
      </c>
      <c r="N23" s="3"/>
      <c r="O23" s="78"/>
      <c r="P23" s="79" t="s">
        <v>1271</v>
      </c>
      <c r="Q23" s="81">
        <f>SUM(Q26:Q32)</f>
        <v>0</v>
      </c>
      <c r="R23" s="3"/>
      <c r="S23" s="78"/>
      <c r="T23" s="79" t="s">
        <v>1271</v>
      </c>
      <c r="U23" s="81">
        <f>SUM(U26:U32)</f>
        <v>0</v>
      </c>
      <c r="V23" s="3"/>
      <c r="W23" s="78"/>
      <c r="X23" s="79" t="s">
        <v>1271</v>
      </c>
      <c r="Y23" s="81">
        <f>SUM(Y26:Y32)</f>
        <v>0</v>
      </c>
      <c r="Z23" s="3"/>
      <c r="AA23" s="78"/>
      <c r="AB23" s="79" t="s">
        <v>1271</v>
      </c>
      <c r="AC23" s="81">
        <f>SUM(AC26:AC32)</f>
        <v>0</v>
      </c>
      <c r="AD23" s="3"/>
    </row>
    <row r="24" spans="1:30" ht="13.5" thickBot="1">
      <c r="A24" s="117">
        <v>21</v>
      </c>
      <c r="B24" s="82" t="s">
        <v>1483</v>
      </c>
      <c r="C24" s="83"/>
      <c r="D24" s="83" t="s">
        <v>1270</v>
      </c>
      <c r="E24" s="83"/>
      <c r="F24" s="83"/>
      <c r="G24" s="83"/>
      <c r="H24" s="83"/>
      <c r="I24" s="83"/>
      <c r="J24" s="3"/>
      <c r="K24" s="82" t="s">
        <v>1483</v>
      </c>
      <c r="L24" s="83" t="s">
        <v>1270</v>
      </c>
      <c r="M24" s="83"/>
      <c r="N24" s="3"/>
      <c r="O24" s="82" t="s">
        <v>1483</v>
      </c>
      <c r="P24" s="83" t="s">
        <v>1270</v>
      </c>
      <c r="Q24" s="83"/>
      <c r="R24" s="3"/>
      <c r="S24" s="82" t="s">
        <v>1483</v>
      </c>
      <c r="T24" s="83" t="s">
        <v>1270</v>
      </c>
      <c r="U24" s="83"/>
      <c r="V24" s="3"/>
      <c r="W24" s="82" t="s">
        <v>1483</v>
      </c>
      <c r="X24" s="83" t="s">
        <v>1270</v>
      </c>
      <c r="Y24" s="83"/>
      <c r="Z24" s="3"/>
      <c r="AA24" s="82" t="s">
        <v>1483</v>
      </c>
      <c r="AB24" s="83" t="s">
        <v>1270</v>
      </c>
      <c r="AC24" s="83"/>
      <c r="AD24" s="3"/>
    </row>
    <row r="25" spans="1:30" ht="13.5" thickBot="1">
      <c r="A25" s="117">
        <v>22</v>
      </c>
      <c r="B25" s="16" t="s">
        <v>1269</v>
      </c>
      <c r="C25" s="37"/>
      <c r="D25" s="37" t="str">
        <f>PROPER(units)</f>
        <v>Grams</v>
      </c>
      <c r="E25" s="37"/>
      <c r="F25" s="37"/>
      <c r="G25" s="37"/>
      <c r="H25" s="37"/>
      <c r="I25" s="36" t="s">
        <v>1474</v>
      </c>
      <c r="J25" s="3"/>
      <c r="K25" s="16" t="s">
        <v>1269</v>
      </c>
      <c r="L25" s="37" t="str">
        <f>PROPER(units)</f>
        <v>Grams</v>
      </c>
      <c r="M25" s="36" t="s">
        <v>1474</v>
      </c>
      <c r="N25" s="3"/>
      <c r="O25" s="16" t="s">
        <v>1269</v>
      </c>
      <c r="P25" s="37" t="str">
        <f>PROPER(units)</f>
        <v>Grams</v>
      </c>
      <c r="Q25" s="36" t="s">
        <v>1474</v>
      </c>
      <c r="R25" s="3"/>
      <c r="S25" s="16" t="s">
        <v>1269</v>
      </c>
      <c r="T25" s="37" t="str">
        <f>PROPER(units)</f>
        <v>Grams</v>
      </c>
      <c r="U25" s="36" t="s">
        <v>1474</v>
      </c>
      <c r="V25" s="3"/>
      <c r="W25" s="16" t="s">
        <v>1269</v>
      </c>
      <c r="X25" s="37" t="str">
        <f>PROPER(units)</f>
        <v>Grams</v>
      </c>
      <c r="Y25" s="36" t="s">
        <v>1474</v>
      </c>
      <c r="Z25" s="3"/>
      <c r="AA25" s="16" t="s">
        <v>1269</v>
      </c>
      <c r="AB25" s="37" t="str">
        <f>PROPER(units)</f>
        <v>Grams</v>
      </c>
      <c r="AC25" s="36" t="s">
        <v>1474</v>
      </c>
      <c r="AD25" s="3"/>
    </row>
    <row r="26" spans="1:30">
      <c r="A26" s="117">
        <v>23</v>
      </c>
      <c r="B26" s="45">
        <f t="shared" ref="B26:B32" ca="1" si="26">INDEX(INDIRECT(Body.db),A26,1)</f>
        <v>0</v>
      </c>
      <c r="C26" s="104">
        <f t="shared" ref="C26:C32" ca="1" si="27">IF(B26&gt;0,IF(G26-E26&gt;E26-H26,H26,G26),)</f>
        <v>0</v>
      </c>
      <c r="D26" s="48">
        <f t="shared" ref="D26:D32" ca="1" si="28">INDEX(INDIRECT(VLOOKUP(Body.type,Body_type,5,FALSE)),A26,2)</f>
        <v>0</v>
      </c>
      <c r="E26" s="104">
        <f t="shared" ref="E26:E32" ca="1" si="29">IF(B26&gt;0,D26*$J$4,)</f>
        <v>0</v>
      </c>
      <c r="F26" s="104">
        <f t="shared" ref="F26:F32" ca="1" si="30">IF(B26&gt;0,VLOOKUP(B26,Food_Database,9,FALSE),)</f>
        <v>0</v>
      </c>
      <c r="G26" s="104">
        <f t="shared" ref="G26:G32" ca="1" si="31">IF(B26&gt;0,CEILING(E26,F26),)</f>
        <v>0</v>
      </c>
      <c r="H26" s="104">
        <f t="shared" ref="H26:H32" ca="1" si="32">IF(B26&gt;0,FLOOR(E26,F26),)</f>
        <v>0</v>
      </c>
      <c r="I26" s="41">
        <f t="shared" ref="I26:I32" ca="1" si="33">IF(B26&gt;0,VLOOKUP(B26,Food_Database,2,FALSE)*C26/convert,)</f>
        <v>0</v>
      </c>
      <c r="J26" s="3"/>
      <c r="K26" s="45"/>
      <c r="L26" s="51"/>
      <c r="M26" s="41">
        <f t="shared" ref="M26:M32" si="34">IF(K26&gt;0,VLOOKUP(K26,Food_Database,2,FALSE)*L26/convert,)</f>
        <v>0</v>
      </c>
      <c r="N26" s="3"/>
      <c r="O26" s="45"/>
      <c r="P26" s="51"/>
      <c r="Q26" s="41">
        <f t="shared" ref="Q26:Q32" si="35">IF(O26&gt;0,VLOOKUP(O26,Food_Database,2,FALSE)*P26/convert,)</f>
        <v>0</v>
      </c>
      <c r="R26" s="3"/>
      <c r="S26" s="45"/>
      <c r="T26" s="51"/>
      <c r="U26" s="41">
        <f t="shared" ref="U26:U32" si="36">IF(S26&gt;0,VLOOKUP(S26,Food_Database,2,FALSE)*T26/convert,)</f>
        <v>0</v>
      </c>
      <c r="V26" s="3"/>
      <c r="W26" s="45"/>
      <c r="X26" s="51"/>
      <c r="Y26" s="41">
        <f t="shared" ref="Y26:Y32" si="37">IF(W26&gt;0,VLOOKUP(W26,Food_Database,2,FALSE)*X26/convert,)</f>
        <v>0</v>
      </c>
      <c r="Z26" s="3"/>
      <c r="AA26" s="45"/>
      <c r="AB26" s="51"/>
      <c r="AC26" s="41">
        <f t="shared" ref="AC26:AC32" si="38">IF(AA26&gt;0,VLOOKUP(AA26,Food_Database,2,FALSE)*AB26/convert,)</f>
        <v>0</v>
      </c>
      <c r="AD26" s="3"/>
    </row>
    <row r="27" spans="1:30">
      <c r="A27" s="117">
        <v>24</v>
      </c>
      <c r="B27" s="46">
        <f t="shared" ca="1" si="26"/>
        <v>0</v>
      </c>
      <c r="C27" s="105">
        <f t="shared" ca="1" si="27"/>
        <v>0</v>
      </c>
      <c r="D27" s="49">
        <f t="shared" ca="1" si="28"/>
        <v>0</v>
      </c>
      <c r="E27" s="105">
        <f t="shared" ca="1" si="29"/>
        <v>0</v>
      </c>
      <c r="F27" s="105">
        <f t="shared" ca="1" si="30"/>
        <v>0</v>
      </c>
      <c r="G27" s="105">
        <f t="shared" ca="1" si="31"/>
        <v>0</v>
      </c>
      <c r="H27" s="105">
        <f t="shared" ca="1" si="32"/>
        <v>0</v>
      </c>
      <c r="I27" s="41">
        <f t="shared" ca="1" si="33"/>
        <v>0</v>
      </c>
      <c r="J27" s="3"/>
      <c r="K27" s="46"/>
      <c r="L27" s="52"/>
      <c r="M27" s="41">
        <f t="shared" si="34"/>
        <v>0</v>
      </c>
      <c r="N27" s="3"/>
      <c r="O27" s="46"/>
      <c r="P27" s="52"/>
      <c r="Q27" s="41">
        <f t="shared" si="35"/>
        <v>0</v>
      </c>
      <c r="R27" s="3"/>
      <c r="S27" s="46"/>
      <c r="T27" s="52"/>
      <c r="U27" s="41">
        <f t="shared" si="36"/>
        <v>0</v>
      </c>
      <c r="V27" s="3"/>
      <c r="W27" s="46"/>
      <c r="X27" s="52"/>
      <c r="Y27" s="41">
        <f t="shared" si="37"/>
        <v>0</v>
      </c>
      <c r="Z27" s="3"/>
      <c r="AA27" s="46"/>
      <c r="AB27" s="52"/>
      <c r="AC27" s="41">
        <f t="shared" si="38"/>
        <v>0</v>
      </c>
      <c r="AD27" s="3"/>
    </row>
    <row r="28" spans="1:30">
      <c r="A28" s="117">
        <v>25</v>
      </c>
      <c r="B28" s="46">
        <f t="shared" ca="1" si="26"/>
        <v>0</v>
      </c>
      <c r="C28" s="105">
        <f t="shared" ca="1" si="27"/>
        <v>0</v>
      </c>
      <c r="D28" s="49">
        <f t="shared" ca="1" si="28"/>
        <v>0</v>
      </c>
      <c r="E28" s="105">
        <f t="shared" ca="1" si="29"/>
        <v>0</v>
      </c>
      <c r="F28" s="105">
        <f t="shared" ca="1" si="30"/>
        <v>0</v>
      </c>
      <c r="G28" s="105">
        <f t="shared" ca="1" si="31"/>
        <v>0</v>
      </c>
      <c r="H28" s="105">
        <f t="shared" ca="1" si="32"/>
        <v>0</v>
      </c>
      <c r="I28" s="41">
        <f t="shared" ca="1" si="33"/>
        <v>0</v>
      </c>
      <c r="J28" s="3"/>
      <c r="K28" s="46"/>
      <c r="L28" s="52"/>
      <c r="M28" s="41">
        <f t="shared" si="34"/>
        <v>0</v>
      </c>
      <c r="N28" s="3"/>
      <c r="O28" s="46"/>
      <c r="P28" s="52"/>
      <c r="Q28" s="41">
        <f t="shared" si="35"/>
        <v>0</v>
      </c>
      <c r="R28" s="3"/>
      <c r="S28" s="46"/>
      <c r="T28" s="52"/>
      <c r="U28" s="41">
        <f t="shared" si="36"/>
        <v>0</v>
      </c>
      <c r="V28" s="3"/>
      <c r="W28" s="46"/>
      <c r="X28" s="52"/>
      <c r="Y28" s="41">
        <f t="shared" si="37"/>
        <v>0</v>
      </c>
      <c r="Z28" s="3"/>
      <c r="AA28" s="46"/>
      <c r="AB28" s="52"/>
      <c r="AC28" s="41">
        <f t="shared" si="38"/>
        <v>0</v>
      </c>
      <c r="AD28" s="3"/>
    </row>
    <row r="29" spans="1:30">
      <c r="A29" s="117">
        <v>26</v>
      </c>
      <c r="B29" s="46">
        <f t="shared" ca="1" si="26"/>
        <v>0</v>
      </c>
      <c r="C29" s="105">
        <f t="shared" ca="1" si="27"/>
        <v>0</v>
      </c>
      <c r="D29" s="49">
        <f t="shared" ca="1" si="28"/>
        <v>0</v>
      </c>
      <c r="E29" s="105">
        <f t="shared" ca="1" si="29"/>
        <v>0</v>
      </c>
      <c r="F29" s="105">
        <f t="shared" ca="1" si="30"/>
        <v>0</v>
      </c>
      <c r="G29" s="105">
        <f t="shared" ca="1" si="31"/>
        <v>0</v>
      </c>
      <c r="H29" s="105">
        <f t="shared" ca="1" si="32"/>
        <v>0</v>
      </c>
      <c r="I29" s="41">
        <f t="shared" ca="1" si="33"/>
        <v>0</v>
      </c>
      <c r="J29" s="3"/>
      <c r="K29" s="46"/>
      <c r="L29" s="52"/>
      <c r="M29" s="41">
        <f t="shared" si="34"/>
        <v>0</v>
      </c>
      <c r="N29" s="3"/>
      <c r="O29" s="46"/>
      <c r="P29" s="52"/>
      <c r="Q29" s="41">
        <f t="shared" si="35"/>
        <v>0</v>
      </c>
      <c r="R29" s="3"/>
      <c r="S29" s="46"/>
      <c r="T29" s="52"/>
      <c r="U29" s="41">
        <f t="shared" si="36"/>
        <v>0</v>
      </c>
      <c r="V29" s="3"/>
      <c r="W29" s="46"/>
      <c r="X29" s="52"/>
      <c r="Y29" s="41">
        <f t="shared" si="37"/>
        <v>0</v>
      </c>
      <c r="Z29" s="3"/>
      <c r="AA29" s="46"/>
      <c r="AB29" s="52"/>
      <c r="AC29" s="41">
        <f t="shared" si="38"/>
        <v>0</v>
      </c>
      <c r="AD29" s="3"/>
    </row>
    <row r="30" spans="1:30">
      <c r="A30" s="117">
        <v>27</v>
      </c>
      <c r="B30" s="46">
        <f t="shared" ca="1" si="26"/>
        <v>0</v>
      </c>
      <c r="C30" s="105">
        <f t="shared" ca="1" si="27"/>
        <v>0</v>
      </c>
      <c r="D30" s="49">
        <f t="shared" ca="1" si="28"/>
        <v>0</v>
      </c>
      <c r="E30" s="105">
        <f t="shared" ca="1" si="29"/>
        <v>0</v>
      </c>
      <c r="F30" s="105">
        <f t="shared" ca="1" si="30"/>
        <v>0</v>
      </c>
      <c r="G30" s="105">
        <f t="shared" ca="1" si="31"/>
        <v>0</v>
      </c>
      <c r="H30" s="105">
        <f t="shared" ca="1" si="32"/>
        <v>0</v>
      </c>
      <c r="I30" s="41">
        <f t="shared" ca="1" si="33"/>
        <v>0</v>
      </c>
      <c r="J30" s="3"/>
      <c r="K30" s="46"/>
      <c r="L30" s="52"/>
      <c r="M30" s="41">
        <f t="shared" si="34"/>
        <v>0</v>
      </c>
      <c r="N30" s="3"/>
      <c r="O30" s="46"/>
      <c r="P30" s="52"/>
      <c r="Q30" s="41">
        <f t="shared" si="35"/>
        <v>0</v>
      </c>
      <c r="R30" s="3"/>
      <c r="S30" s="46"/>
      <c r="T30" s="52"/>
      <c r="U30" s="41">
        <f t="shared" si="36"/>
        <v>0</v>
      </c>
      <c r="V30" s="3"/>
      <c r="W30" s="46"/>
      <c r="X30" s="52"/>
      <c r="Y30" s="41">
        <f t="shared" si="37"/>
        <v>0</v>
      </c>
      <c r="Z30" s="3"/>
      <c r="AA30" s="46"/>
      <c r="AB30" s="52"/>
      <c r="AC30" s="41">
        <f t="shared" si="38"/>
        <v>0</v>
      </c>
      <c r="AD30" s="3"/>
    </row>
    <row r="31" spans="1:30">
      <c r="A31" s="117">
        <v>28</v>
      </c>
      <c r="B31" s="46">
        <f t="shared" ca="1" si="26"/>
        <v>0</v>
      </c>
      <c r="C31" s="105">
        <f t="shared" ca="1" si="27"/>
        <v>0</v>
      </c>
      <c r="D31" s="49">
        <f t="shared" ca="1" si="28"/>
        <v>0</v>
      </c>
      <c r="E31" s="105">
        <f t="shared" ca="1" si="29"/>
        <v>0</v>
      </c>
      <c r="F31" s="105">
        <f t="shared" ca="1" si="30"/>
        <v>0</v>
      </c>
      <c r="G31" s="105">
        <f t="shared" ca="1" si="31"/>
        <v>0</v>
      </c>
      <c r="H31" s="105">
        <f t="shared" ca="1" si="32"/>
        <v>0</v>
      </c>
      <c r="I31" s="41">
        <f t="shared" ca="1" si="33"/>
        <v>0</v>
      </c>
      <c r="J31" s="3"/>
      <c r="K31" s="46"/>
      <c r="L31" s="52"/>
      <c r="M31" s="41">
        <f t="shared" si="34"/>
        <v>0</v>
      </c>
      <c r="N31" s="3"/>
      <c r="O31" s="46"/>
      <c r="P31" s="52"/>
      <c r="Q31" s="41">
        <f t="shared" si="35"/>
        <v>0</v>
      </c>
      <c r="R31" s="3"/>
      <c r="S31" s="46"/>
      <c r="T31" s="52"/>
      <c r="U31" s="41">
        <f t="shared" si="36"/>
        <v>0</v>
      </c>
      <c r="V31" s="3"/>
      <c r="W31" s="46"/>
      <c r="X31" s="52"/>
      <c r="Y31" s="41">
        <f t="shared" si="37"/>
        <v>0</v>
      </c>
      <c r="Z31" s="3"/>
      <c r="AA31" s="46"/>
      <c r="AB31" s="52"/>
      <c r="AC31" s="41">
        <f t="shared" si="38"/>
        <v>0</v>
      </c>
      <c r="AD31" s="3"/>
    </row>
    <row r="32" spans="1:30" ht="13.5" thickBot="1">
      <c r="A32" s="117">
        <v>29</v>
      </c>
      <c r="B32" s="47">
        <f t="shared" ca="1" si="26"/>
        <v>0</v>
      </c>
      <c r="C32" s="106">
        <f t="shared" ca="1" si="27"/>
        <v>0</v>
      </c>
      <c r="D32" s="50">
        <f t="shared" ca="1" si="28"/>
        <v>0</v>
      </c>
      <c r="E32" s="106">
        <f t="shared" ca="1" si="29"/>
        <v>0</v>
      </c>
      <c r="F32" s="106">
        <f t="shared" ca="1" si="30"/>
        <v>0</v>
      </c>
      <c r="G32" s="106">
        <f t="shared" ca="1" si="31"/>
        <v>0</v>
      </c>
      <c r="H32" s="106">
        <f t="shared" ca="1" si="32"/>
        <v>0</v>
      </c>
      <c r="I32" s="44">
        <f t="shared" ca="1" si="33"/>
        <v>0</v>
      </c>
      <c r="J32" s="3"/>
      <c r="K32" s="47"/>
      <c r="L32" s="53"/>
      <c r="M32" s="44">
        <f t="shared" si="34"/>
        <v>0</v>
      </c>
      <c r="N32" s="3"/>
      <c r="O32" s="47"/>
      <c r="P32" s="53"/>
      <c r="Q32" s="44">
        <f t="shared" si="35"/>
        <v>0</v>
      </c>
      <c r="R32" s="3"/>
      <c r="S32" s="47"/>
      <c r="T32" s="53"/>
      <c r="U32" s="44">
        <f t="shared" si="36"/>
        <v>0</v>
      </c>
      <c r="V32" s="3"/>
      <c r="W32" s="47"/>
      <c r="X32" s="53"/>
      <c r="Y32" s="44">
        <f t="shared" si="37"/>
        <v>0</v>
      </c>
      <c r="Z32" s="3"/>
      <c r="AA32" s="47"/>
      <c r="AB32" s="53"/>
      <c r="AC32" s="44">
        <f t="shared" si="38"/>
        <v>0</v>
      </c>
      <c r="AD32" s="3"/>
    </row>
    <row r="33" spans="1:30" ht="13.5" thickBot="1">
      <c r="A33" s="117">
        <v>30</v>
      </c>
      <c r="B33" s="77" t="s">
        <v>268</v>
      </c>
      <c r="C33" s="3"/>
      <c r="D33" s="3"/>
      <c r="E33" s="3"/>
      <c r="F33" s="3"/>
      <c r="G33" s="3"/>
      <c r="H33" s="3"/>
      <c r="I33" s="3"/>
      <c r="J33" s="3"/>
      <c r="K33" s="77" t="s">
        <v>268</v>
      </c>
      <c r="L33" s="3"/>
      <c r="M33" s="3"/>
      <c r="N33" s="3"/>
      <c r="O33" s="77" t="s">
        <v>268</v>
      </c>
      <c r="P33" s="3"/>
      <c r="Q33" s="3"/>
      <c r="R33" s="3"/>
      <c r="S33" s="77" t="s">
        <v>268</v>
      </c>
      <c r="T33" s="3"/>
      <c r="U33" s="3"/>
      <c r="V33" s="3"/>
      <c r="W33" s="77" t="s">
        <v>268</v>
      </c>
      <c r="X33" s="3"/>
      <c r="Y33" s="3"/>
      <c r="Z33" s="3"/>
      <c r="AA33" s="77" t="s">
        <v>268</v>
      </c>
      <c r="AB33" s="3"/>
      <c r="AC33" s="3"/>
      <c r="AD33" s="3"/>
    </row>
    <row r="34" spans="1:30" ht="14.25" thickTop="1" thickBot="1">
      <c r="A34" s="117">
        <v>31</v>
      </c>
      <c r="B34" s="78"/>
      <c r="C34" s="79"/>
      <c r="D34" s="79" t="s">
        <v>1271</v>
      </c>
      <c r="E34" s="79"/>
      <c r="F34" s="79"/>
      <c r="G34" s="79"/>
      <c r="H34" s="79"/>
      <c r="I34" s="81">
        <f ca="1">SUM(I37:I43)</f>
        <v>0</v>
      </c>
      <c r="J34" s="3"/>
      <c r="K34" s="78"/>
      <c r="L34" s="79" t="s">
        <v>1271</v>
      </c>
      <c r="M34" s="81">
        <f>SUM(M37:M43)</f>
        <v>0</v>
      </c>
      <c r="N34" s="3"/>
      <c r="O34" s="78"/>
      <c r="P34" s="79" t="s">
        <v>1271</v>
      </c>
      <c r="Q34" s="81">
        <f>SUM(Q37:Q43)</f>
        <v>0</v>
      </c>
      <c r="R34" s="3"/>
      <c r="S34" s="78"/>
      <c r="T34" s="79" t="s">
        <v>1271</v>
      </c>
      <c r="U34" s="81">
        <f>SUM(U37:U43)</f>
        <v>0</v>
      </c>
      <c r="V34" s="3"/>
      <c r="W34" s="78"/>
      <c r="X34" s="79" t="s">
        <v>1271</v>
      </c>
      <c r="Y34" s="81">
        <f>SUM(Y37:Y43)</f>
        <v>0</v>
      </c>
      <c r="Z34" s="3"/>
      <c r="AA34" s="78"/>
      <c r="AB34" s="79" t="s">
        <v>1271</v>
      </c>
      <c r="AC34" s="81">
        <f>SUM(AC37:AC43)</f>
        <v>0</v>
      </c>
      <c r="AD34" s="3"/>
    </row>
    <row r="35" spans="1:30" ht="13.5" thickBot="1">
      <c r="A35" s="117">
        <v>32</v>
      </c>
      <c r="B35" s="82" t="s">
        <v>201</v>
      </c>
      <c r="C35" s="83"/>
      <c r="D35" s="83" t="s">
        <v>1270</v>
      </c>
      <c r="E35" s="83"/>
      <c r="F35" s="83"/>
      <c r="G35" s="83"/>
      <c r="H35" s="83"/>
      <c r="I35" s="83"/>
      <c r="J35" s="3"/>
      <c r="K35" s="82" t="s">
        <v>1480</v>
      </c>
      <c r="L35" s="83" t="s">
        <v>1270</v>
      </c>
      <c r="M35" s="83"/>
      <c r="N35" s="3"/>
      <c r="O35" s="82" t="s">
        <v>1480</v>
      </c>
      <c r="P35" s="83" t="s">
        <v>1270</v>
      </c>
      <c r="Q35" s="83"/>
      <c r="R35" s="3"/>
      <c r="S35" s="82" t="s">
        <v>1480</v>
      </c>
      <c r="T35" s="83" t="s">
        <v>1270</v>
      </c>
      <c r="U35" s="83"/>
      <c r="V35" s="3"/>
      <c r="W35" s="82" t="s">
        <v>1480</v>
      </c>
      <c r="X35" s="83" t="s">
        <v>1270</v>
      </c>
      <c r="Y35" s="83"/>
      <c r="Z35" s="3"/>
      <c r="AA35" s="82" t="s">
        <v>1480</v>
      </c>
      <c r="AB35" s="83" t="s">
        <v>1270</v>
      </c>
      <c r="AC35" s="83"/>
      <c r="AD35" s="3"/>
    </row>
    <row r="36" spans="1:30" ht="13.5" thickBot="1">
      <c r="A36" s="117">
        <v>33</v>
      </c>
      <c r="B36" s="16" t="s">
        <v>1269</v>
      </c>
      <c r="C36" s="37"/>
      <c r="D36" s="37" t="str">
        <f>PROPER(units)</f>
        <v>Grams</v>
      </c>
      <c r="E36" s="37"/>
      <c r="F36" s="37"/>
      <c r="G36" s="37"/>
      <c r="H36" s="37"/>
      <c r="I36" s="36" t="s">
        <v>1474</v>
      </c>
      <c r="J36" s="3"/>
      <c r="K36" s="16" t="s">
        <v>1269</v>
      </c>
      <c r="L36" s="37" t="str">
        <f>PROPER(units)</f>
        <v>Grams</v>
      </c>
      <c r="M36" s="36" t="s">
        <v>1474</v>
      </c>
      <c r="N36" s="3"/>
      <c r="O36" s="16" t="s">
        <v>1269</v>
      </c>
      <c r="P36" s="37" t="str">
        <f>PROPER(units)</f>
        <v>Grams</v>
      </c>
      <c r="Q36" s="36" t="s">
        <v>1474</v>
      </c>
      <c r="R36" s="3"/>
      <c r="S36" s="16" t="s">
        <v>1269</v>
      </c>
      <c r="T36" s="37" t="str">
        <f>PROPER(units)</f>
        <v>Grams</v>
      </c>
      <c r="U36" s="36" t="s">
        <v>1474</v>
      </c>
      <c r="V36" s="3"/>
      <c r="W36" s="16" t="s">
        <v>1269</v>
      </c>
      <c r="X36" s="37" t="str">
        <f>PROPER(units)</f>
        <v>Grams</v>
      </c>
      <c r="Y36" s="36" t="s">
        <v>1474</v>
      </c>
      <c r="Z36" s="3"/>
      <c r="AA36" s="16" t="s">
        <v>1269</v>
      </c>
      <c r="AB36" s="37" t="str">
        <f>PROPER(units)</f>
        <v>Grams</v>
      </c>
      <c r="AC36" s="36" t="s">
        <v>1474</v>
      </c>
      <c r="AD36" s="3"/>
    </row>
    <row r="37" spans="1:30">
      <c r="A37" s="117">
        <v>34</v>
      </c>
      <c r="B37" s="45">
        <f t="shared" ref="B37:B43" ca="1" si="39">INDEX(INDIRECT(Body.db),A37,1)</f>
        <v>0</v>
      </c>
      <c r="C37" s="104">
        <f t="shared" ref="C37:C43" ca="1" si="40">IF(B37&gt;0,IF(G37-E37&gt;E37-H37,H37,G37),)</f>
        <v>0</v>
      </c>
      <c r="D37" s="48">
        <f t="shared" ref="D37:D43" ca="1" si="41">INDEX(INDIRECT(VLOOKUP(Body.type,Body_type,5,FALSE)),A37,2)</f>
        <v>0</v>
      </c>
      <c r="E37" s="104">
        <f t="shared" ref="E37:E43" ca="1" si="42">IF(B37&gt;0,D37*$J$4,)</f>
        <v>0</v>
      </c>
      <c r="F37" s="104">
        <f t="shared" ref="F37:F43" ca="1" si="43">IF(B37&gt;0,VLOOKUP(B37,Food_Database,9,FALSE),)</f>
        <v>0</v>
      </c>
      <c r="G37" s="104">
        <f t="shared" ref="G37:G43" ca="1" si="44">IF(B37&gt;0,CEILING(E37,F37),)</f>
        <v>0</v>
      </c>
      <c r="H37" s="104">
        <f t="shared" ref="H37:H43" ca="1" si="45">IF(B37&gt;0,FLOOR(E37,F37),)</f>
        <v>0</v>
      </c>
      <c r="I37" s="41">
        <f t="shared" ref="I37:I43" ca="1" si="46">IF(B37&gt;0,VLOOKUP(B37,Food_Database,2,FALSE)*C37/convert,)</f>
        <v>0</v>
      </c>
      <c r="J37" s="3"/>
      <c r="K37" s="45"/>
      <c r="L37" s="51"/>
      <c r="M37" s="41">
        <f t="shared" ref="M37:M43" si="47">IF(K37&gt;0,VLOOKUP(K37,Food_Database,2,FALSE)*L37/convert,)</f>
        <v>0</v>
      </c>
      <c r="N37" s="3"/>
      <c r="O37" s="45"/>
      <c r="P37" s="51"/>
      <c r="Q37" s="41">
        <f t="shared" ref="Q37:Q43" si="48">IF(O37&gt;0,VLOOKUP(O37,Food_Database,2,FALSE)*P37/convert,)</f>
        <v>0</v>
      </c>
      <c r="R37" s="3"/>
      <c r="S37" s="45"/>
      <c r="T37" s="51"/>
      <c r="U37" s="41">
        <f t="shared" ref="U37:U43" si="49">IF(S37&gt;0,VLOOKUP(S37,Food_Database,2,FALSE)*T37/convert,)</f>
        <v>0</v>
      </c>
      <c r="V37" s="3"/>
      <c r="W37" s="45"/>
      <c r="X37" s="51"/>
      <c r="Y37" s="41">
        <f t="shared" ref="Y37:Y43" si="50">IF(W37&gt;0,VLOOKUP(W37,Food_Database,2,FALSE)*X37/convert,)</f>
        <v>0</v>
      </c>
      <c r="Z37" s="3"/>
      <c r="AA37" s="45"/>
      <c r="AB37" s="51"/>
      <c r="AC37" s="41">
        <f t="shared" ref="AC37:AC43" si="51">IF(AA37&gt;0,VLOOKUP(AA37,Food_Database,2,FALSE)*AB37/convert,)</f>
        <v>0</v>
      </c>
      <c r="AD37" s="3"/>
    </row>
    <row r="38" spans="1:30">
      <c r="A38" s="117">
        <v>35</v>
      </c>
      <c r="B38" s="46">
        <f t="shared" ca="1" si="39"/>
        <v>0</v>
      </c>
      <c r="C38" s="105">
        <f t="shared" ca="1" si="40"/>
        <v>0</v>
      </c>
      <c r="D38" s="49">
        <f t="shared" ca="1" si="41"/>
        <v>0</v>
      </c>
      <c r="E38" s="105">
        <f t="shared" ca="1" si="42"/>
        <v>0</v>
      </c>
      <c r="F38" s="105">
        <f t="shared" ca="1" si="43"/>
        <v>0</v>
      </c>
      <c r="G38" s="105">
        <f t="shared" ca="1" si="44"/>
        <v>0</v>
      </c>
      <c r="H38" s="105">
        <f t="shared" ca="1" si="45"/>
        <v>0</v>
      </c>
      <c r="I38" s="41">
        <f t="shared" ca="1" si="46"/>
        <v>0</v>
      </c>
      <c r="J38" s="3"/>
      <c r="K38" s="46"/>
      <c r="L38" s="52"/>
      <c r="M38" s="41">
        <f t="shared" si="47"/>
        <v>0</v>
      </c>
      <c r="N38" s="3"/>
      <c r="O38" s="46"/>
      <c r="P38" s="52"/>
      <c r="Q38" s="41">
        <f t="shared" si="48"/>
        <v>0</v>
      </c>
      <c r="R38" s="3"/>
      <c r="S38" s="46"/>
      <c r="T38" s="52"/>
      <c r="U38" s="41">
        <f t="shared" si="49"/>
        <v>0</v>
      </c>
      <c r="V38" s="3"/>
      <c r="W38" s="46"/>
      <c r="X38" s="52"/>
      <c r="Y38" s="41">
        <f t="shared" si="50"/>
        <v>0</v>
      </c>
      <c r="Z38" s="3"/>
      <c r="AA38" s="46"/>
      <c r="AB38" s="52"/>
      <c r="AC38" s="41">
        <f t="shared" si="51"/>
        <v>0</v>
      </c>
      <c r="AD38" s="3"/>
    </row>
    <row r="39" spans="1:30">
      <c r="A39" s="117">
        <v>36</v>
      </c>
      <c r="B39" s="46">
        <f t="shared" ca="1" si="39"/>
        <v>0</v>
      </c>
      <c r="C39" s="105">
        <f t="shared" ca="1" si="40"/>
        <v>0</v>
      </c>
      <c r="D39" s="49">
        <f t="shared" ca="1" si="41"/>
        <v>0</v>
      </c>
      <c r="E39" s="105">
        <f t="shared" ca="1" si="42"/>
        <v>0</v>
      </c>
      <c r="F39" s="105">
        <f t="shared" ca="1" si="43"/>
        <v>0</v>
      </c>
      <c r="G39" s="105">
        <f t="shared" ca="1" si="44"/>
        <v>0</v>
      </c>
      <c r="H39" s="105">
        <f t="shared" ca="1" si="45"/>
        <v>0</v>
      </c>
      <c r="I39" s="41">
        <f t="shared" ca="1" si="46"/>
        <v>0</v>
      </c>
      <c r="J39" s="3"/>
      <c r="K39" s="46"/>
      <c r="L39" s="52"/>
      <c r="M39" s="41">
        <f t="shared" si="47"/>
        <v>0</v>
      </c>
      <c r="N39" s="3"/>
      <c r="O39" s="46"/>
      <c r="P39" s="52"/>
      <c r="Q39" s="41">
        <f t="shared" si="48"/>
        <v>0</v>
      </c>
      <c r="R39" s="3"/>
      <c r="S39" s="46"/>
      <c r="T39" s="52"/>
      <c r="U39" s="41">
        <f t="shared" si="49"/>
        <v>0</v>
      </c>
      <c r="V39" s="3"/>
      <c r="W39" s="46"/>
      <c r="X39" s="52"/>
      <c r="Y39" s="41">
        <f t="shared" si="50"/>
        <v>0</v>
      </c>
      <c r="Z39" s="3"/>
      <c r="AA39" s="46"/>
      <c r="AB39" s="52"/>
      <c r="AC39" s="41">
        <f t="shared" si="51"/>
        <v>0</v>
      </c>
      <c r="AD39" s="3"/>
    </row>
    <row r="40" spans="1:30">
      <c r="A40" s="117">
        <v>37</v>
      </c>
      <c r="B40" s="46">
        <f t="shared" ca="1" si="39"/>
        <v>0</v>
      </c>
      <c r="C40" s="105">
        <f t="shared" ca="1" si="40"/>
        <v>0</v>
      </c>
      <c r="D40" s="49">
        <f t="shared" ca="1" si="41"/>
        <v>0</v>
      </c>
      <c r="E40" s="105">
        <f t="shared" ca="1" si="42"/>
        <v>0</v>
      </c>
      <c r="F40" s="105">
        <f t="shared" ca="1" si="43"/>
        <v>0</v>
      </c>
      <c r="G40" s="105">
        <f t="shared" ca="1" si="44"/>
        <v>0</v>
      </c>
      <c r="H40" s="105">
        <f t="shared" ca="1" si="45"/>
        <v>0</v>
      </c>
      <c r="I40" s="41">
        <f t="shared" ca="1" si="46"/>
        <v>0</v>
      </c>
      <c r="J40" s="3"/>
      <c r="K40" s="46"/>
      <c r="L40" s="52"/>
      <c r="M40" s="41">
        <f t="shared" si="47"/>
        <v>0</v>
      </c>
      <c r="N40" s="3"/>
      <c r="O40" s="46"/>
      <c r="P40" s="52"/>
      <c r="Q40" s="41">
        <f t="shared" si="48"/>
        <v>0</v>
      </c>
      <c r="R40" s="3"/>
      <c r="S40" s="46"/>
      <c r="T40" s="52"/>
      <c r="U40" s="41">
        <f t="shared" si="49"/>
        <v>0</v>
      </c>
      <c r="V40" s="3"/>
      <c r="W40" s="46"/>
      <c r="X40" s="52"/>
      <c r="Y40" s="41">
        <f t="shared" si="50"/>
        <v>0</v>
      </c>
      <c r="Z40" s="3"/>
      <c r="AA40" s="46"/>
      <c r="AB40" s="52"/>
      <c r="AC40" s="41">
        <f t="shared" si="51"/>
        <v>0</v>
      </c>
      <c r="AD40" s="3"/>
    </row>
    <row r="41" spans="1:30">
      <c r="A41" s="117">
        <v>38</v>
      </c>
      <c r="B41" s="46">
        <f t="shared" ca="1" si="39"/>
        <v>0</v>
      </c>
      <c r="C41" s="105">
        <f t="shared" ca="1" si="40"/>
        <v>0</v>
      </c>
      <c r="D41" s="49">
        <f t="shared" ca="1" si="41"/>
        <v>0</v>
      </c>
      <c r="E41" s="105">
        <f t="shared" ca="1" si="42"/>
        <v>0</v>
      </c>
      <c r="F41" s="105">
        <f t="shared" ca="1" si="43"/>
        <v>0</v>
      </c>
      <c r="G41" s="105">
        <f t="shared" ca="1" si="44"/>
        <v>0</v>
      </c>
      <c r="H41" s="105">
        <f t="shared" ca="1" si="45"/>
        <v>0</v>
      </c>
      <c r="I41" s="41">
        <f t="shared" ca="1" si="46"/>
        <v>0</v>
      </c>
      <c r="J41" s="3"/>
      <c r="K41" s="46"/>
      <c r="L41" s="52"/>
      <c r="M41" s="41">
        <f t="shared" si="47"/>
        <v>0</v>
      </c>
      <c r="N41" s="3"/>
      <c r="O41" s="46"/>
      <c r="P41" s="52"/>
      <c r="Q41" s="41">
        <f t="shared" si="48"/>
        <v>0</v>
      </c>
      <c r="R41" s="3"/>
      <c r="S41" s="46"/>
      <c r="T41" s="52"/>
      <c r="U41" s="41">
        <f t="shared" si="49"/>
        <v>0</v>
      </c>
      <c r="V41" s="3"/>
      <c r="W41" s="46"/>
      <c r="X41" s="52"/>
      <c r="Y41" s="41">
        <f t="shared" si="50"/>
        <v>0</v>
      </c>
      <c r="Z41" s="3"/>
      <c r="AA41" s="46"/>
      <c r="AB41" s="52"/>
      <c r="AC41" s="41">
        <f t="shared" si="51"/>
        <v>0</v>
      </c>
      <c r="AD41" s="3"/>
    </row>
    <row r="42" spans="1:30">
      <c r="A42" s="117">
        <v>39</v>
      </c>
      <c r="B42" s="46">
        <f t="shared" ca="1" si="39"/>
        <v>0</v>
      </c>
      <c r="C42" s="105">
        <f t="shared" ca="1" si="40"/>
        <v>0</v>
      </c>
      <c r="D42" s="49">
        <f t="shared" ca="1" si="41"/>
        <v>0</v>
      </c>
      <c r="E42" s="105">
        <f t="shared" ca="1" si="42"/>
        <v>0</v>
      </c>
      <c r="F42" s="105">
        <f t="shared" ca="1" si="43"/>
        <v>0</v>
      </c>
      <c r="G42" s="105">
        <f t="shared" ca="1" si="44"/>
        <v>0</v>
      </c>
      <c r="H42" s="105">
        <f t="shared" ca="1" si="45"/>
        <v>0</v>
      </c>
      <c r="I42" s="41">
        <f t="shared" ca="1" si="46"/>
        <v>0</v>
      </c>
      <c r="J42" s="3"/>
      <c r="K42" s="46"/>
      <c r="L42" s="52"/>
      <c r="M42" s="41">
        <f t="shared" si="47"/>
        <v>0</v>
      </c>
      <c r="N42" s="3"/>
      <c r="O42" s="46"/>
      <c r="P42" s="52"/>
      <c r="Q42" s="41">
        <f t="shared" si="48"/>
        <v>0</v>
      </c>
      <c r="R42" s="3"/>
      <c r="S42" s="46"/>
      <c r="T42" s="52"/>
      <c r="U42" s="41">
        <f t="shared" si="49"/>
        <v>0</v>
      </c>
      <c r="V42" s="3"/>
      <c r="W42" s="46"/>
      <c r="X42" s="52"/>
      <c r="Y42" s="41">
        <f t="shared" si="50"/>
        <v>0</v>
      </c>
      <c r="Z42" s="3"/>
      <c r="AA42" s="46"/>
      <c r="AB42" s="52"/>
      <c r="AC42" s="41">
        <f t="shared" si="51"/>
        <v>0</v>
      </c>
      <c r="AD42" s="3"/>
    </row>
    <row r="43" spans="1:30" ht="13.5" thickBot="1">
      <c r="A43" s="117">
        <v>40</v>
      </c>
      <c r="B43" s="47">
        <f t="shared" ca="1" si="39"/>
        <v>0</v>
      </c>
      <c r="C43" s="106">
        <f t="shared" ca="1" si="40"/>
        <v>0</v>
      </c>
      <c r="D43" s="50">
        <f t="shared" ca="1" si="41"/>
        <v>0</v>
      </c>
      <c r="E43" s="106">
        <f t="shared" ca="1" si="42"/>
        <v>0</v>
      </c>
      <c r="F43" s="106">
        <f t="shared" ca="1" si="43"/>
        <v>0</v>
      </c>
      <c r="G43" s="106">
        <f t="shared" ca="1" si="44"/>
        <v>0</v>
      </c>
      <c r="H43" s="106">
        <f t="shared" ca="1" si="45"/>
        <v>0</v>
      </c>
      <c r="I43" s="44">
        <f t="shared" ca="1" si="46"/>
        <v>0</v>
      </c>
      <c r="J43" s="3"/>
      <c r="K43" s="47"/>
      <c r="L43" s="53"/>
      <c r="M43" s="44">
        <f t="shared" si="47"/>
        <v>0</v>
      </c>
      <c r="N43" s="3"/>
      <c r="O43" s="47"/>
      <c r="P43" s="53"/>
      <c r="Q43" s="44">
        <f t="shared" si="48"/>
        <v>0</v>
      </c>
      <c r="R43" s="3"/>
      <c r="S43" s="47"/>
      <c r="T43" s="53"/>
      <c r="U43" s="44">
        <f t="shared" si="49"/>
        <v>0</v>
      </c>
      <c r="V43" s="3"/>
      <c r="W43" s="47"/>
      <c r="X43" s="53"/>
      <c r="Y43" s="44">
        <f t="shared" si="50"/>
        <v>0</v>
      </c>
      <c r="Z43" s="3"/>
      <c r="AA43" s="47"/>
      <c r="AB43" s="53"/>
      <c r="AC43" s="44">
        <f t="shared" si="51"/>
        <v>0</v>
      </c>
      <c r="AD43" s="3"/>
    </row>
    <row r="44" spans="1:30" ht="13.5" thickBot="1">
      <c r="A44" s="117">
        <v>41</v>
      </c>
      <c r="B44" s="77" t="s">
        <v>268</v>
      </c>
      <c r="C44" s="3"/>
      <c r="D44" s="3"/>
      <c r="E44" s="3"/>
      <c r="F44" s="3"/>
      <c r="G44" s="3"/>
      <c r="H44" s="3"/>
      <c r="I44" s="3"/>
      <c r="J44" s="3"/>
      <c r="K44" s="77" t="s">
        <v>268</v>
      </c>
      <c r="L44" s="3"/>
      <c r="M44" s="3"/>
      <c r="N44" s="3"/>
      <c r="O44" s="77" t="s">
        <v>268</v>
      </c>
      <c r="P44" s="3"/>
      <c r="Q44" s="3"/>
      <c r="R44" s="3"/>
      <c r="S44" s="77" t="s">
        <v>268</v>
      </c>
      <c r="T44" s="3"/>
      <c r="U44" s="3"/>
      <c r="V44" s="3"/>
      <c r="W44" s="77" t="s">
        <v>268</v>
      </c>
      <c r="X44" s="3"/>
      <c r="Y44" s="3"/>
      <c r="Z44" s="3"/>
      <c r="AA44" s="77" t="s">
        <v>268</v>
      </c>
      <c r="AB44" s="3"/>
      <c r="AC44" s="3"/>
      <c r="AD44" s="3"/>
    </row>
    <row r="45" spans="1:30" ht="14.25" thickTop="1" thickBot="1">
      <c r="A45" s="117">
        <v>42</v>
      </c>
      <c r="B45" s="114"/>
      <c r="C45" s="79"/>
      <c r="D45" s="79" t="s">
        <v>1271</v>
      </c>
      <c r="E45" s="79"/>
      <c r="F45" s="79"/>
      <c r="G45" s="79"/>
      <c r="H45" s="79"/>
      <c r="I45" s="81">
        <f ca="1">SUM(I48:I54)</f>
        <v>0</v>
      </c>
      <c r="J45" s="3"/>
      <c r="K45" s="114"/>
      <c r="L45" s="79" t="s">
        <v>1271</v>
      </c>
      <c r="M45" s="81">
        <f>SUM(M48:M54)</f>
        <v>0</v>
      </c>
      <c r="N45" s="3"/>
      <c r="O45" s="114"/>
      <c r="P45" s="79" t="s">
        <v>1271</v>
      </c>
      <c r="Q45" s="81">
        <f>SUM(Q48:Q54)</f>
        <v>0</v>
      </c>
      <c r="R45" s="3"/>
      <c r="S45" s="114"/>
      <c r="T45" s="79" t="s">
        <v>1271</v>
      </c>
      <c r="U45" s="81">
        <f>SUM(U48:U54)</f>
        <v>0</v>
      </c>
      <c r="V45" s="3"/>
      <c r="W45" s="114"/>
      <c r="X45" s="79" t="s">
        <v>1271</v>
      </c>
      <c r="Y45" s="81">
        <f>SUM(Y48:Y54)</f>
        <v>0</v>
      </c>
      <c r="Z45" s="3"/>
      <c r="AA45" s="114"/>
      <c r="AB45" s="79" t="s">
        <v>1271</v>
      </c>
      <c r="AC45" s="81">
        <f>SUM(AC48:AC54)</f>
        <v>0</v>
      </c>
      <c r="AD45" s="3"/>
    </row>
    <row r="46" spans="1:30" ht="13.5" thickBot="1">
      <c r="A46" s="117">
        <v>43</v>
      </c>
      <c r="B46" s="82" t="s">
        <v>1484</v>
      </c>
      <c r="C46" s="83"/>
      <c r="D46" s="83" t="s">
        <v>1270</v>
      </c>
      <c r="E46" s="83"/>
      <c r="F46" s="83"/>
      <c r="G46" s="83"/>
      <c r="H46" s="83"/>
      <c r="I46" s="83"/>
      <c r="J46" s="3"/>
      <c r="K46" s="82" t="s">
        <v>1484</v>
      </c>
      <c r="L46" s="83" t="s">
        <v>1270</v>
      </c>
      <c r="M46" s="83"/>
      <c r="N46" s="3"/>
      <c r="O46" s="82" t="s">
        <v>1484</v>
      </c>
      <c r="P46" s="83" t="s">
        <v>1270</v>
      </c>
      <c r="Q46" s="83"/>
      <c r="R46" s="3"/>
      <c r="S46" s="82" t="s">
        <v>1484</v>
      </c>
      <c r="T46" s="83" t="s">
        <v>1270</v>
      </c>
      <c r="U46" s="83"/>
      <c r="V46" s="3"/>
      <c r="W46" s="82" t="s">
        <v>1484</v>
      </c>
      <c r="X46" s="83" t="s">
        <v>1270</v>
      </c>
      <c r="Y46" s="83"/>
      <c r="Z46" s="3"/>
      <c r="AA46" s="82" t="s">
        <v>1484</v>
      </c>
      <c r="AB46" s="83" t="s">
        <v>1270</v>
      </c>
      <c r="AC46" s="83"/>
      <c r="AD46" s="3"/>
    </row>
    <row r="47" spans="1:30" ht="13.5" thickBot="1">
      <c r="A47" s="117">
        <v>44</v>
      </c>
      <c r="B47" s="16" t="s">
        <v>1269</v>
      </c>
      <c r="C47" s="37"/>
      <c r="D47" s="37" t="str">
        <f>PROPER(units)</f>
        <v>Grams</v>
      </c>
      <c r="E47" s="37"/>
      <c r="F47" s="37"/>
      <c r="G47" s="37"/>
      <c r="H47" s="37"/>
      <c r="I47" s="36" t="s">
        <v>1474</v>
      </c>
      <c r="J47" s="3"/>
      <c r="K47" s="16" t="s">
        <v>1269</v>
      </c>
      <c r="L47" s="37" t="str">
        <f>PROPER(units)</f>
        <v>Grams</v>
      </c>
      <c r="M47" s="36" t="s">
        <v>1474</v>
      </c>
      <c r="N47" s="3"/>
      <c r="O47" s="16" t="s">
        <v>1269</v>
      </c>
      <c r="P47" s="37" t="str">
        <f>PROPER(units)</f>
        <v>Grams</v>
      </c>
      <c r="Q47" s="36" t="s">
        <v>1474</v>
      </c>
      <c r="R47" s="3"/>
      <c r="S47" s="16" t="s">
        <v>1269</v>
      </c>
      <c r="T47" s="37" t="str">
        <f>PROPER(units)</f>
        <v>Grams</v>
      </c>
      <c r="U47" s="36" t="s">
        <v>1474</v>
      </c>
      <c r="V47" s="3"/>
      <c r="W47" s="16" t="s">
        <v>1269</v>
      </c>
      <c r="X47" s="37" t="str">
        <f>PROPER(units)</f>
        <v>Grams</v>
      </c>
      <c r="Y47" s="36" t="s">
        <v>1474</v>
      </c>
      <c r="Z47" s="3"/>
      <c r="AA47" s="16" t="s">
        <v>1269</v>
      </c>
      <c r="AB47" s="37" t="str">
        <f>PROPER(units)</f>
        <v>Grams</v>
      </c>
      <c r="AC47" s="36" t="s">
        <v>1474</v>
      </c>
      <c r="AD47" s="3"/>
    </row>
    <row r="48" spans="1:30">
      <c r="A48" s="117">
        <v>45</v>
      </c>
      <c r="B48" s="45">
        <f t="shared" ref="B48:B54" ca="1" si="52">INDEX(INDIRECT(Body.db),A48,1)</f>
        <v>0</v>
      </c>
      <c r="C48" s="104">
        <f t="shared" ref="C48:C54" ca="1" si="53">IF(B48&gt;0,IF(G48-E48&gt;E48-H48,H48,G48),)</f>
        <v>0</v>
      </c>
      <c r="D48" s="48">
        <f t="shared" ref="D48:D54" ca="1" si="54">INDEX(INDIRECT(VLOOKUP(Body.type,Body_type,5,FALSE)),A48,2)</f>
        <v>0</v>
      </c>
      <c r="E48" s="104">
        <f t="shared" ref="E48:E54" ca="1" si="55">IF(B48&gt;0,D48*$J$4,)</f>
        <v>0</v>
      </c>
      <c r="F48" s="104">
        <f t="shared" ref="F48:F54" ca="1" si="56">IF(B48&gt;0,VLOOKUP(B48,Food_Database,9,FALSE),)</f>
        <v>0</v>
      </c>
      <c r="G48" s="104">
        <f t="shared" ref="G48:G54" ca="1" si="57">IF(B48&gt;0,CEILING(E48,F48),)</f>
        <v>0</v>
      </c>
      <c r="H48" s="104">
        <f t="shared" ref="H48:H54" ca="1" si="58">IF(B48&gt;0,FLOOR(E48,F48),)</f>
        <v>0</v>
      </c>
      <c r="I48" s="41">
        <f t="shared" ref="I48:I54" ca="1" si="59">IF(B48&gt;0,VLOOKUP(B48,Food_Database,2,FALSE)*C48/convert,)</f>
        <v>0</v>
      </c>
      <c r="J48" s="3"/>
      <c r="K48" s="45"/>
      <c r="L48" s="51"/>
      <c r="M48" s="41">
        <f t="shared" ref="M48:M54" si="60">IF(K48&gt;0,VLOOKUP(K48,Food_Database,2,FALSE)*L48/convert,)</f>
        <v>0</v>
      </c>
      <c r="N48" s="3"/>
      <c r="O48" s="45"/>
      <c r="P48" s="51"/>
      <c r="Q48" s="41">
        <f t="shared" ref="Q48:Q54" si="61">IF(O48&gt;0,VLOOKUP(O48,Food_Database,2,FALSE)*P48/convert,)</f>
        <v>0</v>
      </c>
      <c r="R48" s="3"/>
      <c r="S48" s="45"/>
      <c r="T48" s="51"/>
      <c r="U48" s="41">
        <f t="shared" ref="U48:U54" si="62">IF(S48&gt;0,VLOOKUP(S48,Food_Database,2,FALSE)*T48/convert,)</f>
        <v>0</v>
      </c>
      <c r="V48" s="3"/>
      <c r="W48" s="45"/>
      <c r="X48" s="51"/>
      <c r="Y48" s="41">
        <f t="shared" ref="Y48:Y54" si="63">IF(W48&gt;0,VLOOKUP(W48,Food_Database,2,FALSE)*X48/convert,)</f>
        <v>0</v>
      </c>
      <c r="Z48" s="3"/>
      <c r="AA48" s="45"/>
      <c r="AB48" s="51"/>
      <c r="AC48" s="41">
        <f t="shared" ref="AC48:AC54" si="64">IF(AA48&gt;0,VLOOKUP(AA48,Food_Database,2,FALSE)*AB48/convert,)</f>
        <v>0</v>
      </c>
      <c r="AD48" s="3"/>
    </row>
    <row r="49" spans="1:30">
      <c r="A49" s="117">
        <v>46</v>
      </c>
      <c r="B49" s="46">
        <f t="shared" ca="1" si="52"/>
        <v>0</v>
      </c>
      <c r="C49" s="105">
        <f t="shared" ca="1" si="53"/>
        <v>0</v>
      </c>
      <c r="D49" s="49">
        <f t="shared" ca="1" si="54"/>
        <v>0</v>
      </c>
      <c r="E49" s="105">
        <f t="shared" ca="1" si="55"/>
        <v>0</v>
      </c>
      <c r="F49" s="105">
        <f t="shared" ca="1" si="56"/>
        <v>0</v>
      </c>
      <c r="G49" s="105">
        <f t="shared" ca="1" si="57"/>
        <v>0</v>
      </c>
      <c r="H49" s="105">
        <f t="shared" ca="1" si="58"/>
        <v>0</v>
      </c>
      <c r="I49" s="41">
        <f t="shared" ca="1" si="59"/>
        <v>0</v>
      </c>
      <c r="J49" s="3"/>
      <c r="K49" s="46"/>
      <c r="L49" s="52"/>
      <c r="M49" s="41">
        <f t="shared" si="60"/>
        <v>0</v>
      </c>
      <c r="N49" s="3"/>
      <c r="O49" s="46"/>
      <c r="P49" s="52"/>
      <c r="Q49" s="41">
        <f t="shared" si="61"/>
        <v>0</v>
      </c>
      <c r="R49" s="3"/>
      <c r="S49" s="46"/>
      <c r="T49" s="52"/>
      <c r="U49" s="41">
        <f t="shared" si="62"/>
        <v>0</v>
      </c>
      <c r="V49" s="3"/>
      <c r="W49" s="46"/>
      <c r="X49" s="52"/>
      <c r="Y49" s="41">
        <f t="shared" si="63"/>
        <v>0</v>
      </c>
      <c r="Z49" s="3"/>
      <c r="AA49" s="46"/>
      <c r="AB49" s="52"/>
      <c r="AC49" s="41">
        <f t="shared" si="64"/>
        <v>0</v>
      </c>
      <c r="AD49" s="3"/>
    </row>
    <row r="50" spans="1:30">
      <c r="A50" s="117">
        <v>47</v>
      </c>
      <c r="B50" s="46">
        <f t="shared" ca="1" si="52"/>
        <v>0</v>
      </c>
      <c r="C50" s="105">
        <f t="shared" ca="1" si="53"/>
        <v>0</v>
      </c>
      <c r="D50" s="49">
        <f t="shared" ca="1" si="54"/>
        <v>0</v>
      </c>
      <c r="E50" s="105">
        <f t="shared" ca="1" si="55"/>
        <v>0</v>
      </c>
      <c r="F50" s="105">
        <f t="shared" ca="1" si="56"/>
        <v>0</v>
      </c>
      <c r="G50" s="105">
        <f t="shared" ca="1" si="57"/>
        <v>0</v>
      </c>
      <c r="H50" s="105">
        <f t="shared" ca="1" si="58"/>
        <v>0</v>
      </c>
      <c r="I50" s="41">
        <f t="shared" ca="1" si="59"/>
        <v>0</v>
      </c>
      <c r="J50" s="3"/>
      <c r="K50" s="46"/>
      <c r="L50" s="52"/>
      <c r="M50" s="41">
        <f t="shared" si="60"/>
        <v>0</v>
      </c>
      <c r="N50" s="3"/>
      <c r="O50" s="46"/>
      <c r="P50" s="52"/>
      <c r="Q50" s="41">
        <f t="shared" si="61"/>
        <v>0</v>
      </c>
      <c r="R50" s="3"/>
      <c r="S50" s="46"/>
      <c r="T50" s="52"/>
      <c r="U50" s="41">
        <f t="shared" si="62"/>
        <v>0</v>
      </c>
      <c r="V50" s="3"/>
      <c r="W50" s="46"/>
      <c r="X50" s="52"/>
      <c r="Y50" s="41">
        <f t="shared" si="63"/>
        <v>0</v>
      </c>
      <c r="Z50" s="3"/>
      <c r="AA50" s="46"/>
      <c r="AB50" s="52"/>
      <c r="AC50" s="41">
        <f t="shared" si="64"/>
        <v>0</v>
      </c>
      <c r="AD50" s="3"/>
    </row>
    <row r="51" spans="1:30">
      <c r="A51" s="117">
        <v>48</v>
      </c>
      <c r="B51" s="46">
        <f t="shared" ca="1" si="52"/>
        <v>0</v>
      </c>
      <c r="C51" s="105">
        <f t="shared" ca="1" si="53"/>
        <v>0</v>
      </c>
      <c r="D51" s="49">
        <f t="shared" ca="1" si="54"/>
        <v>0</v>
      </c>
      <c r="E51" s="105">
        <f t="shared" ca="1" si="55"/>
        <v>0</v>
      </c>
      <c r="F51" s="105">
        <f t="shared" ca="1" si="56"/>
        <v>0</v>
      </c>
      <c r="G51" s="105">
        <f t="shared" ca="1" si="57"/>
        <v>0</v>
      </c>
      <c r="H51" s="105">
        <f t="shared" ca="1" si="58"/>
        <v>0</v>
      </c>
      <c r="I51" s="41">
        <f t="shared" ca="1" si="59"/>
        <v>0</v>
      </c>
      <c r="J51" s="3"/>
      <c r="K51" s="46"/>
      <c r="L51" s="52"/>
      <c r="M51" s="41">
        <f t="shared" si="60"/>
        <v>0</v>
      </c>
      <c r="N51" s="3"/>
      <c r="O51" s="46"/>
      <c r="P51" s="52"/>
      <c r="Q51" s="41">
        <f t="shared" si="61"/>
        <v>0</v>
      </c>
      <c r="R51" s="3"/>
      <c r="S51" s="46"/>
      <c r="T51" s="52"/>
      <c r="U51" s="41">
        <f t="shared" si="62"/>
        <v>0</v>
      </c>
      <c r="V51" s="3"/>
      <c r="W51" s="46"/>
      <c r="X51" s="52"/>
      <c r="Y51" s="41">
        <f t="shared" si="63"/>
        <v>0</v>
      </c>
      <c r="Z51" s="3"/>
      <c r="AA51" s="46"/>
      <c r="AB51" s="52"/>
      <c r="AC51" s="41">
        <f t="shared" si="64"/>
        <v>0</v>
      </c>
      <c r="AD51" s="3"/>
    </row>
    <row r="52" spans="1:30">
      <c r="A52" s="117">
        <v>49</v>
      </c>
      <c r="B52" s="46">
        <f t="shared" ca="1" si="52"/>
        <v>0</v>
      </c>
      <c r="C52" s="105">
        <f t="shared" ca="1" si="53"/>
        <v>0</v>
      </c>
      <c r="D52" s="49">
        <f t="shared" ca="1" si="54"/>
        <v>0</v>
      </c>
      <c r="E52" s="105">
        <f t="shared" ca="1" si="55"/>
        <v>0</v>
      </c>
      <c r="F52" s="105">
        <f t="shared" ca="1" si="56"/>
        <v>0</v>
      </c>
      <c r="G52" s="105">
        <f t="shared" ca="1" si="57"/>
        <v>0</v>
      </c>
      <c r="H52" s="105">
        <f t="shared" ca="1" si="58"/>
        <v>0</v>
      </c>
      <c r="I52" s="41">
        <f t="shared" ca="1" si="59"/>
        <v>0</v>
      </c>
      <c r="J52" s="3"/>
      <c r="K52" s="46"/>
      <c r="L52" s="52"/>
      <c r="M52" s="41">
        <f t="shared" si="60"/>
        <v>0</v>
      </c>
      <c r="N52" s="3"/>
      <c r="O52" s="46"/>
      <c r="P52" s="52"/>
      <c r="Q52" s="41">
        <f t="shared" si="61"/>
        <v>0</v>
      </c>
      <c r="R52" s="3"/>
      <c r="S52" s="46"/>
      <c r="T52" s="52"/>
      <c r="U52" s="41">
        <f t="shared" si="62"/>
        <v>0</v>
      </c>
      <c r="V52" s="3"/>
      <c r="W52" s="46"/>
      <c r="X52" s="52"/>
      <c r="Y52" s="41">
        <f t="shared" si="63"/>
        <v>0</v>
      </c>
      <c r="Z52" s="3"/>
      <c r="AA52" s="46"/>
      <c r="AB52" s="52"/>
      <c r="AC52" s="41">
        <f t="shared" si="64"/>
        <v>0</v>
      </c>
      <c r="AD52" s="3"/>
    </row>
    <row r="53" spans="1:30">
      <c r="A53" s="117">
        <v>50</v>
      </c>
      <c r="B53" s="46">
        <f t="shared" ca="1" si="52"/>
        <v>0</v>
      </c>
      <c r="C53" s="105">
        <f t="shared" ca="1" si="53"/>
        <v>0</v>
      </c>
      <c r="D53" s="49">
        <f t="shared" ca="1" si="54"/>
        <v>0</v>
      </c>
      <c r="E53" s="105">
        <f t="shared" ca="1" si="55"/>
        <v>0</v>
      </c>
      <c r="F53" s="105">
        <f t="shared" ca="1" si="56"/>
        <v>0</v>
      </c>
      <c r="G53" s="105">
        <f t="shared" ca="1" si="57"/>
        <v>0</v>
      </c>
      <c r="H53" s="105">
        <f t="shared" ca="1" si="58"/>
        <v>0</v>
      </c>
      <c r="I53" s="41">
        <f t="shared" ca="1" si="59"/>
        <v>0</v>
      </c>
      <c r="J53" s="3"/>
      <c r="K53" s="46"/>
      <c r="L53" s="52"/>
      <c r="M53" s="41">
        <f t="shared" si="60"/>
        <v>0</v>
      </c>
      <c r="N53" s="3"/>
      <c r="O53" s="46"/>
      <c r="P53" s="52"/>
      <c r="Q53" s="41">
        <f t="shared" si="61"/>
        <v>0</v>
      </c>
      <c r="R53" s="3"/>
      <c r="S53" s="46"/>
      <c r="T53" s="52"/>
      <c r="U53" s="41">
        <f t="shared" si="62"/>
        <v>0</v>
      </c>
      <c r="V53" s="3"/>
      <c r="W53" s="46"/>
      <c r="X53" s="52"/>
      <c r="Y53" s="41">
        <f t="shared" si="63"/>
        <v>0</v>
      </c>
      <c r="Z53" s="3"/>
      <c r="AA53" s="46"/>
      <c r="AB53" s="52"/>
      <c r="AC53" s="41">
        <f t="shared" si="64"/>
        <v>0</v>
      </c>
      <c r="AD53" s="3"/>
    </row>
    <row r="54" spans="1:30" ht="13.5" thickBot="1">
      <c r="A54" s="117">
        <v>51</v>
      </c>
      <c r="B54" s="47">
        <f t="shared" ca="1" si="52"/>
        <v>0</v>
      </c>
      <c r="C54" s="106">
        <f t="shared" ca="1" si="53"/>
        <v>0</v>
      </c>
      <c r="D54" s="50">
        <f t="shared" ca="1" si="54"/>
        <v>0</v>
      </c>
      <c r="E54" s="106">
        <f t="shared" ca="1" si="55"/>
        <v>0</v>
      </c>
      <c r="F54" s="106">
        <f t="shared" ca="1" si="56"/>
        <v>0</v>
      </c>
      <c r="G54" s="106">
        <f t="shared" ca="1" si="57"/>
        <v>0</v>
      </c>
      <c r="H54" s="106">
        <f t="shared" ca="1" si="58"/>
        <v>0</v>
      </c>
      <c r="I54" s="44">
        <f t="shared" ca="1" si="59"/>
        <v>0</v>
      </c>
      <c r="J54" s="3"/>
      <c r="K54" s="47"/>
      <c r="L54" s="53"/>
      <c r="M54" s="44">
        <f t="shared" si="60"/>
        <v>0</v>
      </c>
      <c r="N54" s="3"/>
      <c r="O54" s="47"/>
      <c r="P54" s="53"/>
      <c r="Q54" s="44">
        <f t="shared" si="61"/>
        <v>0</v>
      </c>
      <c r="R54" s="3"/>
      <c r="S54" s="47"/>
      <c r="T54" s="53"/>
      <c r="U54" s="44">
        <f t="shared" si="62"/>
        <v>0</v>
      </c>
      <c r="V54" s="3"/>
      <c r="W54" s="47"/>
      <c r="X54" s="53"/>
      <c r="Y54" s="44">
        <f t="shared" si="63"/>
        <v>0</v>
      </c>
      <c r="Z54" s="3"/>
      <c r="AA54" s="47"/>
      <c r="AB54" s="53"/>
      <c r="AC54" s="44">
        <f t="shared" si="64"/>
        <v>0</v>
      </c>
      <c r="AD54" s="3"/>
    </row>
    <row r="55" spans="1:30" ht="13.5" thickBot="1">
      <c r="A55" s="117">
        <v>52</v>
      </c>
      <c r="B55" s="77" t="s">
        <v>268</v>
      </c>
      <c r="C55" s="3"/>
      <c r="D55" s="3"/>
      <c r="E55" s="3"/>
      <c r="F55" s="3"/>
      <c r="G55" s="3"/>
      <c r="H55" s="3"/>
      <c r="I55" s="3"/>
      <c r="J55" s="3"/>
      <c r="K55" s="77" t="s">
        <v>268</v>
      </c>
      <c r="L55" s="3"/>
      <c r="M55" s="3"/>
      <c r="N55" s="3"/>
      <c r="O55" s="77" t="s">
        <v>268</v>
      </c>
      <c r="P55" s="3"/>
      <c r="Q55" s="3"/>
      <c r="R55" s="3"/>
      <c r="S55" s="77" t="s">
        <v>268</v>
      </c>
      <c r="T55" s="3"/>
      <c r="U55" s="3"/>
      <c r="V55" s="3"/>
      <c r="W55" s="77" t="s">
        <v>268</v>
      </c>
      <c r="X55" s="3"/>
      <c r="Y55" s="3"/>
      <c r="Z55" s="3"/>
      <c r="AA55" s="77" t="s">
        <v>268</v>
      </c>
      <c r="AB55" s="3"/>
      <c r="AC55" s="3"/>
      <c r="AD55" s="3"/>
    </row>
    <row r="56" spans="1:30" ht="14.25" thickTop="1" thickBot="1">
      <c r="A56" s="117">
        <v>53</v>
      </c>
      <c r="B56" s="78"/>
      <c r="C56" s="79"/>
      <c r="D56" s="79" t="s">
        <v>1271</v>
      </c>
      <c r="E56" s="79"/>
      <c r="F56" s="79"/>
      <c r="G56" s="79"/>
      <c r="H56" s="79"/>
      <c r="I56" s="81">
        <f ca="1">SUM(I59:I65)</f>
        <v>0</v>
      </c>
      <c r="J56" s="3"/>
      <c r="K56" s="78"/>
      <c r="L56" s="79" t="s">
        <v>1271</v>
      </c>
      <c r="M56" s="81">
        <f>SUM(M59:M65)</f>
        <v>0</v>
      </c>
      <c r="N56" s="3"/>
      <c r="O56" s="78"/>
      <c r="P56" s="79" t="s">
        <v>1271</v>
      </c>
      <c r="Q56" s="81">
        <f>SUM(Q59:Q65)</f>
        <v>0</v>
      </c>
      <c r="R56" s="3"/>
      <c r="S56" s="78"/>
      <c r="T56" s="79" t="s">
        <v>1271</v>
      </c>
      <c r="U56" s="81">
        <f>SUM(U59:U65)</f>
        <v>0</v>
      </c>
      <c r="V56" s="3"/>
      <c r="W56" s="78"/>
      <c r="X56" s="79" t="s">
        <v>1271</v>
      </c>
      <c r="Y56" s="81">
        <f>SUM(Y59:Y65)</f>
        <v>0</v>
      </c>
      <c r="Z56" s="3"/>
      <c r="AA56" s="78"/>
      <c r="AB56" s="79" t="s">
        <v>1271</v>
      </c>
      <c r="AC56" s="81">
        <f>SUM(AC59:AC65)</f>
        <v>0</v>
      </c>
      <c r="AD56" s="3"/>
    </row>
    <row r="57" spans="1:30" ht="13.5" thickBot="1">
      <c r="A57" s="117">
        <v>54</v>
      </c>
      <c r="B57" s="82" t="s">
        <v>202</v>
      </c>
      <c r="C57" s="83"/>
      <c r="D57" s="83" t="s">
        <v>1270</v>
      </c>
      <c r="E57" s="83"/>
      <c r="F57" s="83"/>
      <c r="G57" s="83"/>
      <c r="H57" s="83"/>
      <c r="I57" s="83"/>
      <c r="J57" s="3"/>
      <c r="K57" s="82" t="s">
        <v>1481</v>
      </c>
      <c r="L57" s="83" t="s">
        <v>1270</v>
      </c>
      <c r="M57" s="83"/>
      <c r="N57" s="3"/>
      <c r="O57" s="82" t="s">
        <v>1481</v>
      </c>
      <c r="P57" s="83" t="s">
        <v>1270</v>
      </c>
      <c r="Q57" s="83"/>
      <c r="R57" s="3"/>
      <c r="S57" s="82" t="s">
        <v>1481</v>
      </c>
      <c r="T57" s="83" t="s">
        <v>1270</v>
      </c>
      <c r="U57" s="83"/>
      <c r="V57" s="3"/>
      <c r="W57" s="82" t="s">
        <v>1481</v>
      </c>
      <c r="X57" s="83" t="s">
        <v>1270</v>
      </c>
      <c r="Y57" s="83"/>
      <c r="Z57" s="3"/>
      <c r="AA57" s="82" t="s">
        <v>1481</v>
      </c>
      <c r="AB57" s="83" t="s">
        <v>1270</v>
      </c>
      <c r="AC57" s="83"/>
      <c r="AD57" s="3"/>
    </row>
    <row r="58" spans="1:30" ht="13.5" thickBot="1">
      <c r="A58" s="117">
        <v>55</v>
      </c>
      <c r="B58" s="16" t="s">
        <v>1269</v>
      </c>
      <c r="C58" s="37"/>
      <c r="D58" s="37" t="str">
        <f>PROPER(units)</f>
        <v>Grams</v>
      </c>
      <c r="E58" s="37"/>
      <c r="F58" s="37"/>
      <c r="G58" s="37"/>
      <c r="H58" s="37"/>
      <c r="I58" s="36" t="s">
        <v>1474</v>
      </c>
      <c r="J58" s="3"/>
      <c r="K58" s="16" t="s">
        <v>1269</v>
      </c>
      <c r="L58" s="37" t="str">
        <f>PROPER(units)</f>
        <v>Grams</v>
      </c>
      <c r="M58" s="36" t="s">
        <v>1474</v>
      </c>
      <c r="N58" s="3"/>
      <c r="O58" s="16" t="s">
        <v>1269</v>
      </c>
      <c r="P58" s="37" t="str">
        <f>PROPER(units)</f>
        <v>Grams</v>
      </c>
      <c r="Q58" s="36" t="s">
        <v>1474</v>
      </c>
      <c r="R58" s="3"/>
      <c r="S58" s="16" t="s">
        <v>1269</v>
      </c>
      <c r="T58" s="37" t="str">
        <f>PROPER(units)</f>
        <v>Grams</v>
      </c>
      <c r="U58" s="36" t="s">
        <v>1474</v>
      </c>
      <c r="V58" s="3"/>
      <c r="W58" s="16" t="s">
        <v>1269</v>
      </c>
      <c r="X58" s="37" t="str">
        <f>PROPER(units)</f>
        <v>Grams</v>
      </c>
      <c r="Y58" s="36" t="s">
        <v>1474</v>
      </c>
      <c r="Z58" s="3"/>
      <c r="AA58" s="16" t="s">
        <v>1269</v>
      </c>
      <c r="AB58" s="37" t="str">
        <f>PROPER(units)</f>
        <v>Grams</v>
      </c>
      <c r="AC58" s="36" t="s">
        <v>1474</v>
      </c>
      <c r="AD58" s="3"/>
    </row>
    <row r="59" spans="1:30">
      <c r="A59" s="117">
        <v>56</v>
      </c>
      <c r="B59" s="45">
        <f t="shared" ref="B59:B65" ca="1" si="65">INDEX(INDIRECT(Body.db),A59,1)</f>
        <v>0</v>
      </c>
      <c r="C59" s="104">
        <f t="shared" ref="C59:C65" ca="1" si="66">IF(B59&gt;0,IF(G59-E59&gt;E59-H59,H59,G59),)</f>
        <v>0</v>
      </c>
      <c r="D59" s="48">
        <f t="shared" ref="D59:D65" ca="1" si="67">INDEX(INDIRECT(VLOOKUP(Body.type,Body_type,5,FALSE)),A59,2)</f>
        <v>0</v>
      </c>
      <c r="E59" s="104">
        <f t="shared" ref="E59:E65" ca="1" si="68">IF(B59&gt;0,D59*$J$4,)</f>
        <v>0</v>
      </c>
      <c r="F59" s="104">
        <f t="shared" ref="F59:F65" ca="1" si="69">IF(B59&gt;0,VLOOKUP(B59,Food_Database,9,FALSE),)</f>
        <v>0</v>
      </c>
      <c r="G59" s="104">
        <f t="shared" ref="G59:G65" ca="1" si="70">IF(B59&gt;0,CEILING(E59,F59),)</f>
        <v>0</v>
      </c>
      <c r="H59" s="104">
        <f t="shared" ref="H59:H65" ca="1" si="71">IF(B59&gt;0,FLOOR(E59,F59),)</f>
        <v>0</v>
      </c>
      <c r="I59" s="41">
        <f t="shared" ref="I59:I65" ca="1" si="72">IF(B59&gt;0,VLOOKUP(B59,Food_Database,2,FALSE)*C59/convert,)</f>
        <v>0</v>
      </c>
      <c r="J59" s="3"/>
      <c r="K59" s="45"/>
      <c r="L59" s="51"/>
      <c r="M59" s="41">
        <f t="shared" ref="M59:M65" si="73">IF(K59&gt;0,VLOOKUP(K59,Food_Database,2,FALSE)*L59/convert,)</f>
        <v>0</v>
      </c>
      <c r="N59" s="3"/>
      <c r="O59" s="45"/>
      <c r="P59" s="51"/>
      <c r="Q59" s="41">
        <f t="shared" ref="Q59:Q65" si="74">IF(O59&gt;0,VLOOKUP(O59,Food_Database,2,FALSE)*P59/convert,)</f>
        <v>0</v>
      </c>
      <c r="R59" s="3"/>
      <c r="S59" s="45"/>
      <c r="T59" s="51"/>
      <c r="U59" s="41">
        <f t="shared" ref="U59:U65" si="75">IF(S59&gt;0,VLOOKUP(S59,Food_Database,2,FALSE)*T59/convert,)</f>
        <v>0</v>
      </c>
      <c r="V59" s="3"/>
      <c r="W59" s="45"/>
      <c r="X59" s="51"/>
      <c r="Y59" s="41">
        <f t="shared" ref="Y59:Y65" si="76">IF(W59&gt;0,VLOOKUP(W59,Food_Database,2,FALSE)*X59/convert,)</f>
        <v>0</v>
      </c>
      <c r="Z59" s="3"/>
      <c r="AA59" s="45"/>
      <c r="AB59" s="51"/>
      <c r="AC59" s="41">
        <f t="shared" ref="AC59:AC65" si="77">IF(AA59&gt;0,VLOOKUP(AA59,Food_Database,2,FALSE)*AB59/convert,)</f>
        <v>0</v>
      </c>
      <c r="AD59" s="3"/>
    </row>
    <row r="60" spans="1:30">
      <c r="A60" s="117">
        <v>57</v>
      </c>
      <c r="B60" s="46">
        <f t="shared" ca="1" si="65"/>
        <v>0</v>
      </c>
      <c r="C60" s="105">
        <f t="shared" ca="1" si="66"/>
        <v>0</v>
      </c>
      <c r="D60" s="49">
        <f t="shared" ca="1" si="67"/>
        <v>0</v>
      </c>
      <c r="E60" s="105">
        <f t="shared" ca="1" si="68"/>
        <v>0</v>
      </c>
      <c r="F60" s="105">
        <f t="shared" ca="1" si="69"/>
        <v>0</v>
      </c>
      <c r="G60" s="105">
        <f t="shared" ca="1" si="70"/>
        <v>0</v>
      </c>
      <c r="H60" s="105">
        <f t="shared" ca="1" si="71"/>
        <v>0</v>
      </c>
      <c r="I60" s="41">
        <f t="shared" ca="1" si="72"/>
        <v>0</v>
      </c>
      <c r="J60" s="3"/>
      <c r="K60" s="46"/>
      <c r="L60" s="52"/>
      <c r="M60" s="41">
        <f t="shared" si="73"/>
        <v>0</v>
      </c>
      <c r="N60" s="3"/>
      <c r="O60" s="46"/>
      <c r="P60" s="52"/>
      <c r="Q60" s="41">
        <f t="shared" si="74"/>
        <v>0</v>
      </c>
      <c r="R60" s="3"/>
      <c r="S60" s="46"/>
      <c r="T60" s="52"/>
      <c r="U60" s="41">
        <f t="shared" si="75"/>
        <v>0</v>
      </c>
      <c r="V60" s="3"/>
      <c r="W60" s="46"/>
      <c r="X60" s="52"/>
      <c r="Y60" s="41">
        <f t="shared" si="76"/>
        <v>0</v>
      </c>
      <c r="Z60" s="3"/>
      <c r="AA60" s="46"/>
      <c r="AB60" s="52"/>
      <c r="AC60" s="41">
        <f t="shared" si="77"/>
        <v>0</v>
      </c>
      <c r="AD60" s="3"/>
    </row>
    <row r="61" spans="1:30">
      <c r="A61" s="117">
        <v>58</v>
      </c>
      <c r="B61" s="46">
        <f t="shared" ca="1" si="65"/>
        <v>0</v>
      </c>
      <c r="C61" s="105">
        <f t="shared" ca="1" si="66"/>
        <v>0</v>
      </c>
      <c r="D61" s="49">
        <f t="shared" ca="1" si="67"/>
        <v>0</v>
      </c>
      <c r="E61" s="105">
        <f t="shared" ca="1" si="68"/>
        <v>0</v>
      </c>
      <c r="F61" s="105">
        <f t="shared" ca="1" si="69"/>
        <v>0</v>
      </c>
      <c r="G61" s="105">
        <f t="shared" ca="1" si="70"/>
        <v>0</v>
      </c>
      <c r="H61" s="105">
        <f t="shared" ca="1" si="71"/>
        <v>0</v>
      </c>
      <c r="I61" s="41">
        <f t="shared" ca="1" si="72"/>
        <v>0</v>
      </c>
      <c r="J61" s="3"/>
      <c r="K61" s="46"/>
      <c r="L61" s="52"/>
      <c r="M61" s="41">
        <f t="shared" si="73"/>
        <v>0</v>
      </c>
      <c r="N61" s="3"/>
      <c r="O61" s="46"/>
      <c r="P61" s="52"/>
      <c r="Q61" s="41">
        <f t="shared" si="74"/>
        <v>0</v>
      </c>
      <c r="R61" s="3"/>
      <c r="S61" s="46"/>
      <c r="T61" s="52"/>
      <c r="U61" s="41">
        <f t="shared" si="75"/>
        <v>0</v>
      </c>
      <c r="V61" s="3"/>
      <c r="W61" s="46"/>
      <c r="X61" s="52"/>
      <c r="Y61" s="41">
        <f t="shared" si="76"/>
        <v>0</v>
      </c>
      <c r="Z61" s="3"/>
      <c r="AA61" s="46"/>
      <c r="AB61" s="52"/>
      <c r="AC61" s="41">
        <f t="shared" si="77"/>
        <v>0</v>
      </c>
      <c r="AD61" s="3"/>
    </row>
    <row r="62" spans="1:30">
      <c r="A62" s="117">
        <v>59</v>
      </c>
      <c r="B62" s="46">
        <f t="shared" ca="1" si="65"/>
        <v>0</v>
      </c>
      <c r="C62" s="105">
        <f t="shared" ca="1" si="66"/>
        <v>0</v>
      </c>
      <c r="D62" s="49">
        <f t="shared" ca="1" si="67"/>
        <v>0</v>
      </c>
      <c r="E62" s="105">
        <f t="shared" ca="1" si="68"/>
        <v>0</v>
      </c>
      <c r="F62" s="105">
        <f t="shared" ca="1" si="69"/>
        <v>0</v>
      </c>
      <c r="G62" s="105">
        <f t="shared" ca="1" si="70"/>
        <v>0</v>
      </c>
      <c r="H62" s="105">
        <f t="shared" ca="1" si="71"/>
        <v>0</v>
      </c>
      <c r="I62" s="41">
        <f t="shared" ca="1" si="72"/>
        <v>0</v>
      </c>
      <c r="J62" s="3"/>
      <c r="K62" s="46"/>
      <c r="L62" s="52"/>
      <c r="M62" s="41">
        <f t="shared" si="73"/>
        <v>0</v>
      </c>
      <c r="N62" s="3"/>
      <c r="O62" s="46"/>
      <c r="P62" s="52"/>
      <c r="Q62" s="41">
        <f t="shared" si="74"/>
        <v>0</v>
      </c>
      <c r="R62" s="3"/>
      <c r="S62" s="46"/>
      <c r="T62" s="52"/>
      <c r="U62" s="41">
        <f t="shared" si="75"/>
        <v>0</v>
      </c>
      <c r="V62" s="3"/>
      <c r="W62" s="46"/>
      <c r="X62" s="52"/>
      <c r="Y62" s="41">
        <f t="shared" si="76"/>
        <v>0</v>
      </c>
      <c r="Z62" s="3"/>
      <c r="AA62" s="46"/>
      <c r="AB62" s="52"/>
      <c r="AC62" s="41">
        <f t="shared" si="77"/>
        <v>0</v>
      </c>
      <c r="AD62" s="3"/>
    </row>
    <row r="63" spans="1:30">
      <c r="A63" s="117">
        <v>60</v>
      </c>
      <c r="B63" s="46">
        <f t="shared" ca="1" si="65"/>
        <v>0</v>
      </c>
      <c r="C63" s="105">
        <f t="shared" ca="1" si="66"/>
        <v>0</v>
      </c>
      <c r="D63" s="49">
        <f t="shared" ca="1" si="67"/>
        <v>0</v>
      </c>
      <c r="E63" s="105">
        <f t="shared" ca="1" si="68"/>
        <v>0</v>
      </c>
      <c r="F63" s="105">
        <f t="shared" ca="1" si="69"/>
        <v>0</v>
      </c>
      <c r="G63" s="105">
        <f t="shared" ca="1" si="70"/>
        <v>0</v>
      </c>
      <c r="H63" s="105">
        <f t="shared" ca="1" si="71"/>
        <v>0</v>
      </c>
      <c r="I63" s="41">
        <f t="shared" ca="1" si="72"/>
        <v>0</v>
      </c>
      <c r="J63" s="3"/>
      <c r="K63" s="46"/>
      <c r="L63" s="52"/>
      <c r="M63" s="41">
        <f t="shared" si="73"/>
        <v>0</v>
      </c>
      <c r="N63" s="3"/>
      <c r="O63" s="46"/>
      <c r="P63" s="52"/>
      <c r="Q63" s="41">
        <f t="shared" si="74"/>
        <v>0</v>
      </c>
      <c r="R63" s="3"/>
      <c r="S63" s="46"/>
      <c r="T63" s="52"/>
      <c r="U63" s="41">
        <f t="shared" si="75"/>
        <v>0</v>
      </c>
      <c r="V63" s="3"/>
      <c r="W63" s="46"/>
      <c r="X63" s="52"/>
      <c r="Y63" s="41">
        <f t="shared" si="76"/>
        <v>0</v>
      </c>
      <c r="Z63" s="3"/>
      <c r="AA63" s="46"/>
      <c r="AB63" s="52"/>
      <c r="AC63" s="41">
        <f t="shared" si="77"/>
        <v>0</v>
      </c>
      <c r="AD63" s="3"/>
    </row>
    <row r="64" spans="1:30">
      <c r="A64" s="117">
        <v>61</v>
      </c>
      <c r="B64" s="46">
        <f t="shared" ca="1" si="65"/>
        <v>0</v>
      </c>
      <c r="C64" s="105">
        <f t="shared" ca="1" si="66"/>
        <v>0</v>
      </c>
      <c r="D64" s="49">
        <f t="shared" ca="1" si="67"/>
        <v>0</v>
      </c>
      <c r="E64" s="105">
        <f t="shared" ca="1" si="68"/>
        <v>0</v>
      </c>
      <c r="F64" s="105">
        <f t="shared" ca="1" si="69"/>
        <v>0</v>
      </c>
      <c r="G64" s="105">
        <f t="shared" ca="1" si="70"/>
        <v>0</v>
      </c>
      <c r="H64" s="105">
        <f t="shared" ca="1" si="71"/>
        <v>0</v>
      </c>
      <c r="I64" s="41">
        <f t="shared" ca="1" si="72"/>
        <v>0</v>
      </c>
      <c r="J64" s="3"/>
      <c r="K64" s="46"/>
      <c r="L64" s="52"/>
      <c r="M64" s="41">
        <f t="shared" si="73"/>
        <v>0</v>
      </c>
      <c r="N64" s="3"/>
      <c r="O64" s="46"/>
      <c r="P64" s="52"/>
      <c r="Q64" s="41">
        <f t="shared" si="74"/>
        <v>0</v>
      </c>
      <c r="R64" s="3"/>
      <c r="S64" s="46"/>
      <c r="T64" s="52"/>
      <c r="U64" s="41">
        <f t="shared" si="75"/>
        <v>0</v>
      </c>
      <c r="V64" s="3"/>
      <c r="W64" s="46"/>
      <c r="X64" s="52"/>
      <c r="Y64" s="41">
        <f t="shared" si="76"/>
        <v>0</v>
      </c>
      <c r="Z64" s="3"/>
      <c r="AA64" s="46"/>
      <c r="AB64" s="52"/>
      <c r="AC64" s="41">
        <f t="shared" si="77"/>
        <v>0</v>
      </c>
      <c r="AD64" s="3"/>
    </row>
    <row r="65" spans="1:30" ht="13.5" thickBot="1">
      <c r="A65" s="117">
        <v>62</v>
      </c>
      <c r="B65" s="47">
        <f t="shared" ca="1" si="65"/>
        <v>0</v>
      </c>
      <c r="C65" s="106">
        <f t="shared" ca="1" si="66"/>
        <v>0</v>
      </c>
      <c r="D65" s="50">
        <f t="shared" ca="1" si="67"/>
        <v>0</v>
      </c>
      <c r="E65" s="106">
        <f t="shared" ca="1" si="68"/>
        <v>0</v>
      </c>
      <c r="F65" s="106">
        <f t="shared" ca="1" si="69"/>
        <v>0</v>
      </c>
      <c r="G65" s="106">
        <f t="shared" ca="1" si="70"/>
        <v>0</v>
      </c>
      <c r="H65" s="106">
        <f t="shared" ca="1" si="71"/>
        <v>0</v>
      </c>
      <c r="I65" s="44">
        <f t="shared" ca="1" si="72"/>
        <v>0</v>
      </c>
      <c r="J65" s="3"/>
      <c r="K65" s="47"/>
      <c r="L65" s="53"/>
      <c r="M65" s="44">
        <f t="shared" si="73"/>
        <v>0</v>
      </c>
      <c r="N65" s="3"/>
      <c r="O65" s="47"/>
      <c r="P65" s="53"/>
      <c r="Q65" s="44">
        <f t="shared" si="74"/>
        <v>0</v>
      </c>
      <c r="R65" s="3"/>
      <c r="S65" s="47"/>
      <c r="T65" s="53"/>
      <c r="U65" s="44">
        <f t="shared" si="75"/>
        <v>0</v>
      </c>
      <c r="V65" s="3"/>
      <c r="W65" s="47"/>
      <c r="X65" s="53"/>
      <c r="Y65" s="44">
        <f t="shared" si="76"/>
        <v>0</v>
      </c>
      <c r="Z65" s="3"/>
      <c r="AA65" s="47"/>
      <c r="AB65" s="53"/>
      <c r="AC65" s="44">
        <f t="shared" si="77"/>
        <v>0</v>
      </c>
      <c r="AD65" s="3"/>
    </row>
    <row r="66" spans="1:30" ht="13.5" thickBot="1">
      <c r="A66" s="117">
        <v>63</v>
      </c>
      <c r="B66" s="77" t="s">
        <v>268</v>
      </c>
      <c r="C66" s="3"/>
      <c r="D66" s="3"/>
      <c r="E66" s="3"/>
      <c r="F66" s="3"/>
      <c r="G66" s="3"/>
      <c r="H66" s="3"/>
      <c r="I66" s="3"/>
      <c r="J66" s="3"/>
      <c r="K66" s="77" t="s">
        <v>268</v>
      </c>
      <c r="L66" s="3"/>
      <c r="M66" s="3"/>
      <c r="N66" s="3"/>
      <c r="O66" s="77" t="s">
        <v>268</v>
      </c>
      <c r="P66" s="3"/>
      <c r="Q66" s="3"/>
      <c r="R66" s="3"/>
      <c r="S66" s="77" t="s">
        <v>268</v>
      </c>
      <c r="T66" s="3"/>
      <c r="U66" s="3"/>
      <c r="V66" s="3"/>
      <c r="W66" s="77" t="s">
        <v>268</v>
      </c>
      <c r="X66" s="3"/>
      <c r="Y66" s="3"/>
      <c r="Z66" s="3"/>
      <c r="AA66" s="77" t="s">
        <v>268</v>
      </c>
      <c r="AB66" s="3"/>
      <c r="AC66" s="3"/>
      <c r="AD66" s="3"/>
    </row>
    <row r="67" spans="1:30" ht="14.25" thickTop="1" thickBot="1">
      <c r="A67" s="117">
        <v>64</v>
      </c>
      <c r="B67" s="78"/>
      <c r="C67" s="79"/>
      <c r="D67" s="79" t="s">
        <v>1271</v>
      </c>
      <c r="E67" s="79"/>
      <c r="F67" s="79"/>
      <c r="G67" s="79"/>
      <c r="H67" s="79"/>
      <c r="I67" s="81" t="e">
        <f ca="1">SUM(I70:I76)</f>
        <v>#DIV/0!</v>
      </c>
      <c r="J67" s="3"/>
      <c r="K67" s="78"/>
      <c r="L67" s="79" t="s">
        <v>1271</v>
      </c>
      <c r="M67" s="81">
        <f>SUM(M70:M76)</f>
        <v>229.72</v>
      </c>
      <c r="N67" s="3"/>
      <c r="O67" s="78"/>
      <c r="P67" s="79" t="s">
        <v>1271</v>
      </c>
      <c r="Q67" s="81">
        <f>SUM(Q70:Q76)</f>
        <v>229.72</v>
      </c>
      <c r="R67" s="3"/>
      <c r="S67" s="78"/>
      <c r="T67" s="79" t="s">
        <v>1271</v>
      </c>
      <c r="U67" s="81">
        <f>SUM(U70:U76)</f>
        <v>229.72</v>
      </c>
      <c r="V67" s="3"/>
      <c r="W67" s="78"/>
      <c r="X67" s="79" t="s">
        <v>1271</v>
      </c>
      <c r="Y67" s="81">
        <f>SUM(Y70:Y76)</f>
        <v>229.72</v>
      </c>
      <c r="Z67" s="3"/>
      <c r="AA67" s="78"/>
      <c r="AB67" s="79" t="s">
        <v>1271</v>
      </c>
      <c r="AC67" s="81">
        <f>SUM(AC70:AC76)</f>
        <v>229.72</v>
      </c>
      <c r="AD67" s="3"/>
    </row>
    <row r="68" spans="1:30" ht="13.5" thickBot="1">
      <c r="A68" s="117">
        <v>65</v>
      </c>
      <c r="B68" s="82" t="str">
        <f>"Meal "&amp;Meal.post&amp;" (Post workout)"</f>
        <v>Meal 0 (Post workout)</v>
      </c>
      <c r="C68" s="83"/>
      <c r="D68" s="83" t="s">
        <v>1270</v>
      </c>
      <c r="E68" s="83"/>
      <c r="F68" s="83"/>
      <c r="G68" s="83"/>
      <c r="H68" s="83"/>
      <c r="I68" s="83"/>
      <c r="J68" s="3"/>
      <c r="K68" s="82" t="s">
        <v>329</v>
      </c>
      <c r="L68" s="83" t="s">
        <v>1270</v>
      </c>
      <c r="M68" s="83"/>
      <c r="N68" s="3"/>
      <c r="O68" s="82" t="s">
        <v>329</v>
      </c>
      <c r="P68" s="83" t="s">
        <v>1270</v>
      </c>
      <c r="Q68" s="83"/>
      <c r="R68" s="3"/>
      <c r="S68" s="82" t="s">
        <v>329</v>
      </c>
      <c r="T68" s="83" t="s">
        <v>1270</v>
      </c>
      <c r="U68" s="83"/>
      <c r="V68" s="3"/>
      <c r="W68" s="82" t="s">
        <v>329</v>
      </c>
      <c r="X68" s="83" t="s">
        <v>1270</v>
      </c>
      <c r="Y68" s="83"/>
      <c r="Z68" s="3"/>
      <c r="AA68" s="82" t="s">
        <v>329</v>
      </c>
      <c r="AB68" s="83" t="s">
        <v>1270</v>
      </c>
      <c r="AC68" s="83"/>
      <c r="AD68" s="3"/>
    </row>
    <row r="69" spans="1:30" ht="13.5" thickBot="1">
      <c r="A69" s="117">
        <v>66</v>
      </c>
      <c r="B69" s="16" t="s">
        <v>1269</v>
      </c>
      <c r="C69" s="37"/>
      <c r="D69" s="37" t="str">
        <f>PROPER(units)</f>
        <v>Grams</v>
      </c>
      <c r="E69" s="37"/>
      <c r="F69" s="37"/>
      <c r="G69" s="37"/>
      <c r="H69" s="37"/>
      <c r="I69" s="36" t="s">
        <v>1474</v>
      </c>
      <c r="J69" s="3"/>
      <c r="K69" s="16" t="s">
        <v>1269</v>
      </c>
      <c r="L69" s="37" t="str">
        <f>PROPER(units)</f>
        <v>Grams</v>
      </c>
      <c r="M69" s="36" t="s">
        <v>1474</v>
      </c>
      <c r="N69" s="3"/>
      <c r="O69" s="16" t="s">
        <v>1269</v>
      </c>
      <c r="P69" s="37" t="str">
        <f>PROPER(units)</f>
        <v>Grams</v>
      </c>
      <c r="Q69" s="36" t="s">
        <v>1474</v>
      </c>
      <c r="R69" s="3"/>
      <c r="S69" s="16" t="s">
        <v>1269</v>
      </c>
      <c r="T69" s="37" t="str">
        <f>PROPER(units)</f>
        <v>Grams</v>
      </c>
      <c r="U69" s="36" t="s">
        <v>1474</v>
      </c>
      <c r="V69" s="3"/>
      <c r="W69" s="16" t="s">
        <v>1269</v>
      </c>
      <c r="X69" s="37" t="str">
        <f>PROPER(units)</f>
        <v>Grams</v>
      </c>
      <c r="Y69" s="36" t="s">
        <v>1474</v>
      </c>
      <c r="Z69" s="3"/>
      <c r="AA69" s="16" t="s">
        <v>1269</v>
      </c>
      <c r="AB69" s="37" t="str">
        <f>PROPER(units)</f>
        <v>Grams</v>
      </c>
      <c r="AC69" s="36" t="s">
        <v>1474</v>
      </c>
      <c r="AD69" s="3"/>
    </row>
    <row r="70" spans="1:30">
      <c r="A70" s="117">
        <v>67</v>
      </c>
      <c r="B70" s="45" t="str">
        <f t="shared" ref="B70:B76" ca="1" si="78">INDEX(INDIRECT(Body.db),A70,1)</f>
        <v>* BREAD,MULTI/WHL GRAIN</v>
      </c>
      <c r="C70" s="104" t="e">
        <f t="shared" ref="C70:C76" ca="1" si="79">IF(B70&gt;0,IF(G70-E70&gt;E70-H70,H70,G70),)</f>
        <v>#DIV/0!</v>
      </c>
      <c r="D70" s="48">
        <f t="shared" ref="D70:D76" ca="1" si="80">INDEX(INDIRECT(VLOOKUP(Body.type,Body_type,5,FALSE)),A70,2)</f>
        <v>52</v>
      </c>
      <c r="E70" s="104" t="e">
        <f t="shared" ref="E70:E76" ca="1" si="81">IF(B70&gt;0,D70*$J$4,)</f>
        <v>#DIV/0!</v>
      </c>
      <c r="F70" s="104">
        <f t="shared" ref="F70:F76" ca="1" si="82">IF(B70&gt;0,VLOOKUP(B70,Food_Database,9,FALSE),)</f>
        <v>13</v>
      </c>
      <c r="G70" s="104" t="e">
        <f t="shared" ref="G70:G76" ca="1" si="83">IF(B70&gt;0,CEILING(E70,F70),)</f>
        <v>#DIV/0!</v>
      </c>
      <c r="H70" s="104" t="e">
        <f t="shared" ref="H70:H76" ca="1" si="84">IF(B70&gt;0,FLOOR(E70,F70),)</f>
        <v>#DIV/0!</v>
      </c>
      <c r="I70" s="41" t="e">
        <f t="shared" ref="I70:I76" ca="1" si="85">IF(B70&gt;0,VLOOKUP(B70,Food_Database,2,FALSE)*C70/convert,)</f>
        <v>#DIV/0!</v>
      </c>
      <c r="J70" s="3"/>
      <c r="K70" s="45" t="s">
        <v>746</v>
      </c>
      <c r="L70" s="48">
        <v>52</v>
      </c>
      <c r="M70" s="41">
        <f t="shared" ref="M70:M76" si="86">IF(K70&gt;0,VLOOKUP(K70,Food_Database,2,FALSE)*L70/convert,)</f>
        <v>137.80000000000001</v>
      </c>
      <c r="N70" s="3"/>
      <c r="O70" s="45" t="s">
        <v>746</v>
      </c>
      <c r="P70" s="48">
        <v>52</v>
      </c>
      <c r="Q70" s="41">
        <f t="shared" ref="Q70:Q76" si="87">IF(O70&gt;0,VLOOKUP(O70,Food_Database,2,FALSE)*P70/convert,)</f>
        <v>137.80000000000001</v>
      </c>
      <c r="R70" s="3"/>
      <c r="S70" s="45" t="s">
        <v>746</v>
      </c>
      <c r="T70" s="48">
        <v>52</v>
      </c>
      <c r="U70" s="41">
        <f t="shared" ref="U70:U76" si="88">IF(S70&gt;0,VLOOKUP(S70,Food_Database,2,FALSE)*T70/convert,)</f>
        <v>137.80000000000001</v>
      </c>
      <c r="V70" s="3"/>
      <c r="W70" s="45" t="s">
        <v>746</v>
      </c>
      <c r="X70" s="48">
        <v>52</v>
      </c>
      <c r="Y70" s="41">
        <f t="shared" ref="Y70:Y76" si="89">IF(W70&gt;0,VLOOKUP(W70,Food_Database,2,FALSE)*X70/convert,)</f>
        <v>137.80000000000001</v>
      </c>
      <c r="Z70" s="3"/>
      <c r="AA70" s="45" t="s">
        <v>746</v>
      </c>
      <c r="AB70" s="48">
        <v>52</v>
      </c>
      <c r="AC70" s="41">
        <f t="shared" ref="AC70:AC76" si="90">IF(AA70&gt;0,VLOOKUP(AA70,Food_Database,2,FALSE)*AB70/convert,)</f>
        <v>137.80000000000001</v>
      </c>
      <c r="AD70" s="3"/>
    </row>
    <row r="71" spans="1:30">
      <c r="A71" s="117">
        <v>68</v>
      </c>
      <c r="B71" s="46" t="str">
        <f t="shared" ca="1" si="78"/>
        <v>* TURKEY BREAST MEAT</v>
      </c>
      <c r="C71" s="105" t="e">
        <f t="shared" ca="1" si="79"/>
        <v>#DIV/0!</v>
      </c>
      <c r="D71" s="49">
        <f t="shared" ca="1" si="80"/>
        <v>63</v>
      </c>
      <c r="E71" s="105" t="e">
        <f t="shared" ca="1" si="81"/>
        <v>#DIV/0!</v>
      </c>
      <c r="F71" s="105">
        <f t="shared" ca="1" si="82"/>
        <v>10.5</v>
      </c>
      <c r="G71" s="105" t="e">
        <f t="shared" ca="1" si="83"/>
        <v>#DIV/0!</v>
      </c>
      <c r="H71" s="105" t="e">
        <f t="shared" ca="1" si="84"/>
        <v>#DIV/0!</v>
      </c>
      <c r="I71" s="41" t="e">
        <f t="shared" ca="1" si="85"/>
        <v>#DIV/0!</v>
      </c>
      <c r="J71" s="3"/>
      <c r="K71" s="46" t="s">
        <v>219</v>
      </c>
      <c r="L71" s="49">
        <v>63</v>
      </c>
      <c r="M71" s="41">
        <f t="shared" si="86"/>
        <v>65.52</v>
      </c>
      <c r="N71" s="3"/>
      <c r="O71" s="46" t="s">
        <v>219</v>
      </c>
      <c r="P71" s="49">
        <v>63</v>
      </c>
      <c r="Q71" s="41">
        <f t="shared" si="87"/>
        <v>65.52</v>
      </c>
      <c r="R71" s="3"/>
      <c r="S71" s="46" t="s">
        <v>219</v>
      </c>
      <c r="T71" s="49">
        <v>63</v>
      </c>
      <c r="U71" s="41">
        <f t="shared" si="88"/>
        <v>65.52</v>
      </c>
      <c r="V71" s="3"/>
      <c r="W71" s="46" t="s">
        <v>219</v>
      </c>
      <c r="X71" s="49">
        <v>63</v>
      </c>
      <c r="Y71" s="41">
        <f t="shared" si="89"/>
        <v>65.52</v>
      </c>
      <c r="Z71" s="3"/>
      <c r="AA71" s="46" t="s">
        <v>219</v>
      </c>
      <c r="AB71" s="49">
        <v>63</v>
      </c>
      <c r="AC71" s="41">
        <f t="shared" si="90"/>
        <v>65.52</v>
      </c>
      <c r="AD71" s="3"/>
    </row>
    <row r="72" spans="1:30">
      <c r="A72" s="117">
        <v>69</v>
      </c>
      <c r="B72" s="46" t="str">
        <f t="shared" ca="1" si="78"/>
        <v>* SPORTS DRINK, LOW CALORIE</v>
      </c>
      <c r="C72" s="105" t="e">
        <f t="shared" ca="1" si="79"/>
        <v>#DIV/0!</v>
      </c>
      <c r="D72" s="49">
        <f t="shared" ca="1" si="80"/>
        <v>240</v>
      </c>
      <c r="E72" s="105" t="e">
        <f t="shared" ca="1" si="81"/>
        <v>#DIV/0!</v>
      </c>
      <c r="F72" s="105">
        <f t="shared" ca="1" si="82"/>
        <v>30</v>
      </c>
      <c r="G72" s="105" t="e">
        <f t="shared" ca="1" si="83"/>
        <v>#DIV/0!</v>
      </c>
      <c r="H72" s="105" t="e">
        <f t="shared" ca="1" si="84"/>
        <v>#DIV/0!</v>
      </c>
      <c r="I72" s="41" t="e">
        <f t="shared" ca="1" si="85"/>
        <v>#DIV/0!</v>
      </c>
      <c r="J72" s="3"/>
      <c r="K72" s="46" t="s">
        <v>780</v>
      </c>
      <c r="L72" s="49">
        <v>240</v>
      </c>
      <c r="M72" s="41">
        <f t="shared" si="86"/>
        <v>26.4</v>
      </c>
      <c r="N72" s="3"/>
      <c r="O72" s="46" t="s">
        <v>780</v>
      </c>
      <c r="P72" s="49">
        <v>240</v>
      </c>
      <c r="Q72" s="41">
        <f t="shared" si="87"/>
        <v>26.4</v>
      </c>
      <c r="R72" s="3"/>
      <c r="S72" s="46" t="s">
        <v>780</v>
      </c>
      <c r="T72" s="49">
        <v>240</v>
      </c>
      <c r="U72" s="41">
        <f t="shared" si="88"/>
        <v>26.4</v>
      </c>
      <c r="V72" s="3"/>
      <c r="W72" s="46" t="s">
        <v>780</v>
      </c>
      <c r="X72" s="49">
        <v>240</v>
      </c>
      <c r="Y72" s="41">
        <f t="shared" si="89"/>
        <v>26.4</v>
      </c>
      <c r="Z72" s="3"/>
      <c r="AA72" s="46" t="s">
        <v>780</v>
      </c>
      <c r="AB72" s="49">
        <v>240</v>
      </c>
      <c r="AC72" s="41">
        <f t="shared" si="90"/>
        <v>26.4</v>
      </c>
      <c r="AD72" s="3"/>
    </row>
    <row r="73" spans="1:30">
      <c r="A73" s="117">
        <v>70</v>
      </c>
      <c r="B73" s="46">
        <f t="shared" ca="1" si="78"/>
        <v>0</v>
      </c>
      <c r="C73" s="105">
        <f t="shared" ca="1" si="79"/>
        <v>0</v>
      </c>
      <c r="D73" s="49">
        <f t="shared" ca="1" si="80"/>
        <v>0</v>
      </c>
      <c r="E73" s="105">
        <f t="shared" ca="1" si="81"/>
        <v>0</v>
      </c>
      <c r="F73" s="105">
        <f t="shared" ca="1" si="82"/>
        <v>0</v>
      </c>
      <c r="G73" s="105">
        <f t="shared" ca="1" si="83"/>
        <v>0</v>
      </c>
      <c r="H73" s="105">
        <f t="shared" ca="1" si="84"/>
        <v>0</v>
      </c>
      <c r="I73" s="41">
        <f t="shared" ca="1" si="85"/>
        <v>0</v>
      </c>
      <c r="J73" s="3"/>
      <c r="K73" s="46"/>
      <c r="L73" s="49"/>
      <c r="M73" s="41">
        <f t="shared" si="86"/>
        <v>0</v>
      </c>
      <c r="N73" s="3"/>
      <c r="O73" s="46"/>
      <c r="P73" s="49"/>
      <c r="Q73" s="41">
        <f t="shared" si="87"/>
        <v>0</v>
      </c>
      <c r="R73" s="3"/>
      <c r="S73" s="46"/>
      <c r="T73" s="49"/>
      <c r="U73" s="41">
        <f t="shared" si="88"/>
        <v>0</v>
      </c>
      <c r="V73" s="3"/>
      <c r="W73" s="46"/>
      <c r="X73" s="49"/>
      <c r="Y73" s="41">
        <f t="shared" si="89"/>
        <v>0</v>
      </c>
      <c r="Z73" s="3"/>
      <c r="AA73" s="46"/>
      <c r="AB73" s="49"/>
      <c r="AC73" s="41">
        <f t="shared" si="90"/>
        <v>0</v>
      </c>
      <c r="AD73" s="3"/>
    </row>
    <row r="74" spans="1:30">
      <c r="A74" s="117">
        <v>71</v>
      </c>
      <c r="B74" s="46">
        <f t="shared" ca="1" si="78"/>
        <v>0</v>
      </c>
      <c r="C74" s="105">
        <f t="shared" ca="1" si="79"/>
        <v>0</v>
      </c>
      <c r="D74" s="49">
        <f t="shared" ca="1" si="80"/>
        <v>0</v>
      </c>
      <c r="E74" s="105">
        <f t="shared" ca="1" si="81"/>
        <v>0</v>
      </c>
      <c r="F74" s="105">
        <f t="shared" ca="1" si="82"/>
        <v>0</v>
      </c>
      <c r="G74" s="105">
        <f t="shared" ca="1" si="83"/>
        <v>0</v>
      </c>
      <c r="H74" s="105">
        <f t="shared" ca="1" si="84"/>
        <v>0</v>
      </c>
      <c r="I74" s="41">
        <f t="shared" ca="1" si="85"/>
        <v>0</v>
      </c>
      <c r="J74" s="3"/>
      <c r="K74" s="46"/>
      <c r="L74" s="49"/>
      <c r="M74" s="41">
        <f t="shared" si="86"/>
        <v>0</v>
      </c>
      <c r="N74" s="3"/>
      <c r="O74" s="46"/>
      <c r="P74" s="49"/>
      <c r="Q74" s="41">
        <f t="shared" si="87"/>
        <v>0</v>
      </c>
      <c r="R74" s="3"/>
      <c r="S74" s="46"/>
      <c r="T74" s="49"/>
      <c r="U74" s="41">
        <f t="shared" si="88"/>
        <v>0</v>
      </c>
      <c r="V74" s="3"/>
      <c r="W74" s="46"/>
      <c r="X74" s="49"/>
      <c r="Y74" s="41">
        <f t="shared" si="89"/>
        <v>0</v>
      </c>
      <c r="Z74" s="3"/>
      <c r="AA74" s="46"/>
      <c r="AB74" s="49"/>
      <c r="AC74" s="41">
        <f t="shared" si="90"/>
        <v>0</v>
      </c>
      <c r="AD74" s="3"/>
    </row>
    <row r="75" spans="1:30">
      <c r="A75" s="117">
        <v>72</v>
      </c>
      <c r="B75" s="46">
        <f t="shared" ca="1" si="78"/>
        <v>0</v>
      </c>
      <c r="C75" s="105">
        <f t="shared" ca="1" si="79"/>
        <v>0</v>
      </c>
      <c r="D75" s="49">
        <f t="shared" ca="1" si="80"/>
        <v>0</v>
      </c>
      <c r="E75" s="105">
        <f t="shared" ca="1" si="81"/>
        <v>0</v>
      </c>
      <c r="F75" s="105">
        <f t="shared" ca="1" si="82"/>
        <v>0</v>
      </c>
      <c r="G75" s="105">
        <f t="shared" ca="1" si="83"/>
        <v>0</v>
      </c>
      <c r="H75" s="105">
        <f t="shared" ca="1" si="84"/>
        <v>0</v>
      </c>
      <c r="I75" s="41">
        <f t="shared" ca="1" si="85"/>
        <v>0</v>
      </c>
      <c r="J75" s="3"/>
      <c r="K75" s="46"/>
      <c r="L75" s="49"/>
      <c r="M75" s="41">
        <f t="shared" si="86"/>
        <v>0</v>
      </c>
      <c r="N75" s="3"/>
      <c r="O75" s="46"/>
      <c r="P75" s="49"/>
      <c r="Q75" s="41">
        <f t="shared" si="87"/>
        <v>0</v>
      </c>
      <c r="R75" s="3"/>
      <c r="S75" s="46"/>
      <c r="T75" s="49"/>
      <c r="U75" s="41">
        <f t="shared" si="88"/>
        <v>0</v>
      </c>
      <c r="V75" s="3"/>
      <c r="W75" s="46"/>
      <c r="X75" s="49"/>
      <c r="Y75" s="41">
        <f t="shared" si="89"/>
        <v>0</v>
      </c>
      <c r="Z75" s="3"/>
      <c r="AA75" s="46"/>
      <c r="AB75" s="49"/>
      <c r="AC75" s="41">
        <f t="shared" si="90"/>
        <v>0</v>
      </c>
      <c r="AD75" s="3"/>
    </row>
    <row r="76" spans="1:30" ht="13.5" thickBot="1">
      <c r="A76" s="117">
        <v>73</v>
      </c>
      <c r="B76" s="47">
        <f t="shared" ca="1" si="78"/>
        <v>0</v>
      </c>
      <c r="C76" s="106">
        <f t="shared" ca="1" si="79"/>
        <v>0</v>
      </c>
      <c r="D76" s="50">
        <f t="shared" ca="1" si="80"/>
        <v>0</v>
      </c>
      <c r="E76" s="106">
        <f t="shared" ca="1" si="81"/>
        <v>0</v>
      </c>
      <c r="F76" s="106">
        <f t="shared" ca="1" si="82"/>
        <v>0</v>
      </c>
      <c r="G76" s="106">
        <f t="shared" ca="1" si="83"/>
        <v>0</v>
      </c>
      <c r="H76" s="106">
        <f t="shared" ca="1" si="84"/>
        <v>0</v>
      </c>
      <c r="I76" s="44">
        <f t="shared" ca="1" si="85"/>
        <v>0</v>
      </c>
      <c r="J76" s="3"/>
      <c r="K76" s="47"/>
      <c r="L76" s="50"/>
      <c r="M76" s="44">
        <f t="shared" si="86"/>
        <v>0</v>
      </c>
      <c r="N76" s="3"/>
      <c r="O76" s="47"/>
      <c r="P76" s="50"/>
      <c r="Q76" s="44">
        <f t="shared" si="87"/>
        <v>0</v>
      </c>
      <c r="R76" s="3"/>
      <c r="S76" s="47"/>
      <c r="T76" s="50"/>
      <c r="U76" s="44">
        <f t="shared" si="88"/>
        <v>0</v>
      </c>
      <c r="V76" s="3"/>
      <c r="W76" s="47"/>
      <c r="X76" s="50"/>
      <c r="Y76" s="44">
        <f t="shared" si="89"/>
        <v>0</v>
      </c>
      <c r="Z76" s="3"/>
      <c r="AA76" s="47"/>
      <c r="AB76" s="50"/>
      <c r="AC76" s="44">
        <f t="shared" si="90"/>
        <v>0</v>
      </c>
      <c r="AD76" s="3"/>
    </row>
    <row r="77" spans="1:30">
      <c r="A77" s="3"/>
      <c r="B77" s="77" t="s">
        <v>268</v>
      </c>
      <c r="C77" s="3"/>
      <c r="D77" s="3"/>
      <c r="E77" s="3"/>
      <c r="F77" s="3"/>
      <c r="G77" s="3"/>
      <c r="H77" s="3"/>
      <c r="I77" s="3"/>
      <c r="J77" s="3"/>
      <c r="K77" s="77" t="s">
        <v>268</v>
      </c>
      <c r="L77" s="3"/>
      <c r="M77" s="3"/>
      <c r="N77" s="3"/>
      <c r="O77" s="77" t="s">
        <v>268</v>
      </c>
      <c r="P77" s="3"/>
      <c r="Q77" s="3"/>
      <c r="R77" s="3"/>
      <c r="S77" s="77" t="s">
        <v>268</v>
      </c>
      <c r="T77" s="3"/>
      <c r="U77" s="3"/>
      <c r="V77" s="3"/>
      <c r="W77" s="77" t="s">
        <v>268</v>
      </c>
      <c r="X77" s="3"/>
      <c r="Y77" s="3"/>
      <c r="Z77" s="3"/>
      <c r="AA77" s="77" t="s">
        <v>268</v>
      </c>
      <c r="AB77" s="3"/>
      <c r="AC77" s="3"/>
      <c r="AD77" s="3"/>
    </row>
  </sheetData>
  <phoneticPr fontId="2" type="noConversion"/>
  <dataValidations count="1">
    <dataValidation type="list" allowBlank="1" showInputMessage="1" showErrorMessage="1" sqref="AA37:AA43 AA15:AA21 W15:W21 O15:O21 S15:S21 K15:K21 K26:K32 S26:S32 O26:O32 W26:W32 AA26:AA32 AA4:AA10 W4:W10 O4:O10 K4:K10 S4:S10 AA48:AA54 W37:W43 W48:W54 S37:S43 O48:O54 K37:K43 S48:S54 O37:O43 K48:K54 AA59:AA65 W59:W65 O59:O65 S59:S65 K59:K65 AA70:AA76 W70:W76 O70:O76 S70:S76 K70:K76" xr:uid="{00000000-0002-0000-0400-000000000000}">
      <formula1>OFFSET(INDIRECT(Foodgroup_db),,,,1)</formula1>
    </dataValidation>
  </dataValidations>
  <pageMargins left="0.75" right="0.75" top="1" bottom="1" header="0.5" footer="0.5"/>
  <pageSetup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A1:AD77"/>
  <sheetViews>
    <sheetView showZeros="0" workbookViewId="0">
      <selection activeCell="C15" sqref="C15:D15"/>
    </sheetView>
  </sheetViews>
  <sheetFormatPr defaultRowHeight="12.75"/>
  <cols>
    <col min="1" max="1" width="3.28515625" customWidth="1"/>
    <col min="2" max="2" width="26.42578125" customWidth="1"/>
    <col min="5" max="5" width="8.28515625" customWidth="1"/>
    <col min="10" max="10" width="7.42578125" customWidth="1"/>
    <col min="11" max="11" width="26.42578125" bestFit="1" customWidth="1"/>
    <col min="15" max="15" width="26.42578125" bestFit="1" customWidth="1"/>
    <col min="19" max="19" width="26.42578125" bestFit="1" customWidth="1"/>
    <col min="23" max="23" width="26.42578125" bestFit="1" customWidth="1"/>
    <col min="27" max="27" width="26.42578125" bestFit="1" customWidth="1"/>
  </cols>
  <sheetData>
    <row r="1" spans="1:30" ht="14.25" thickTop="1" thickBot="1">
      <c r="A1" s="116"/>
      <c r="B1" s="114" t="str">
        <f>Body.type&amp;" - Plan 5"</f>
        <v>Ectomorph - Plan 5</v>
      </c>
      <c r="C1" s="79"/>
      <c r="D1" s="79" t="s">
        <v>1271</v>
      </c>
      <c r="E1" s="79"/>
      <c r="F1" s="79"/>
      <c r="G1" s="79"/>
      <c r="H1" s="79"/>
      <c r="I1" s="81">
        <f ca="1">SUM(I4:I10)</f>
        <v>0</v>
      </c>
      <c r="J1" s="200">
        <f ca="1">IF(Meal.post&gt;0,ROUND(SUMIF(D1:D76,"Totals",I1:I76)-OFFSET(INDIRECT("Meal"&amp;Meal.post&amp;".1"),-3,7,1,1),),ROUND(SUMIF(D1:D65,"Totals",I1:I65),))</f>
        <v>0</v>
      </c>
      <c r="K1" s="114" t="s">
        <v>507</v>
      </c>
      <c r="L1" s="79" t="s">
        <v>1271</v>
      </c>
      <c r="M1" s="81">
        <f>SUM(M4:M10)</f>
        <v>0</v>
      </c>
      <c r="N1" s="200">
        <f ca="1">IF(Meal.post&gt;0,ROUND(SUMIF(L1:L76,"Totals",M1:M76)-OFFSET(INDIRECT("Meal"&amp;Meal.post&amp;".1"),-3,COLUMN(K:K),1,1),),ROUND(SUMIF(L1:L65,"Totals",M1:M65),))</f>
        <v>0</v>
      </c>
      <c r="O1" s="114" t="s">
        <v>508</v>
      </c>
      <c r="P1" s="79" t="s">
        <v>1271</v>
      </c>
      <c r="Q1" s="81">
        <f>SUM(Q4:Q10)</f>
        <v>0</v>
      </c>
      <c r="R1" s="200">
        <f ca="1">IF(Meal.post&gt;0,ROUND(SUMIF(P1:P76,"Totals",Q1:Q76)-OFFSET(INDIRECT("Meal"&amp;Meal.post&amp;".1"),-3,COLUMN(O:O),1,1),),ROUND(SUMIF(P1:P65,"Totals",Q1:Q65),))</f>
        <v>0</v>
      </c>
      <c r="S1" s="114" t="s">
        <v>509</v>
      </c>
      <c r="T1" s="79" t="s">
        <v>1271</v>
      </c>
      <c r="U1" s="81">
        <f>SUM(U4:U10)</f>
        <v>0</v>
      </c>
      <c r="V1" s="200">
        <f ca="1">IF(Meal.post&gt;0,ROUND(SUMIF(T1:T76,"Totals",U1:U76)-OFFSET(INDIRECT("Meal"&amp;Meal.post&amp;".1"),-3,COLUMN(S:S),1,1),),ROUND(SUMIF(T1:T65,"Totals",U1:U65),))</f>
        <v>0</v>
      </c>
      <c r="W1" s="114" t="s">
        <v>510</v>
      </c>
      <c r="X1" s="79" t="s">
        <v>1271</v>
      </c>
      <c r="Y1" s="81">
        <f>SUM(Y4:Y10)</f>
        <v>0</v>
      </c>
      <c r="Z1" s="200">
        <f ca="1">IF(Meal.post&gt;0,ROUND(SUMIF(X1:X76,"Totals",Y1:Y76)-OFFSET(INDIRECT("Meal"&amp;Meal.post&amp;".1"),-3,COLUMN(W:W),1,1),),ROUND(SUMIF(X1:X65,"Totals",Y1:Y65),))</f>
        <v>0</v>
      </c>
      <c r="AA1" s="114" t="s">
        <v>125</v>
      </c>
      <c r="AB1" s="79" t="s">
        <v>1271</v>
      </c>
      <c r="AC1" s="81">
        <f>SUM(AC4:AC10)</f>
        <v>0</v>
      </c>
      <c r="AD1" s="200">
        <f ca="1">IF(Meal.post&gt;0,ROUND(SUMIF(AB1:AB76,"Totals",AC1:AC76)-OFFSET(INDIRECT("Meal"&amp;Meal.post&amp;".1"),-3,COLUMN(AA:AA),1,1),),ROUND(SUMIF(AB1:AB65,"Totals",AC1:AC65),))</f>
        <v>0</v>
      </c>
    </row>
    <row r="2" spans="1:30" ht="13.5" thickBot="1">
      <c r="A2" s="38"/>
      <c r="B2" s="82" t="s">
        <v>1482</v>
      </c>
      <c r="C2" s="83"/>
      <c r="D2" s="83" t="s">
        <v>1270</v>
      </c>
      <c r="E2" s="83"/>
      <c r="F2" s="83"/>
      <c r="G2" s="83"/>
      <c r="H2" s="83"/>
      <c r="I2" s="83"/>
      <c r="J2" s="133">
        <f ca="1">OFFSET(INDIRECT(VLOOKUP(Body.type,Body_type,5,FALSE)),-3,3,1,1)</f>
        <v>0</v>
      </c>
      <c r="K2" s="82" t="s">
        <v>1482</v>
      </c>
      <c r="L2" s="83" t="s">
        <v>1270</v>
      </c>
      <c r="M2" s="83"/>
      <c r="N2" s="38"/>
      <c r="O2" s="82" t="s">
        <v>1482</v>
      </c>
      <c r="P2" s="83" t="s">
        <v>1270</v>
      </c>
      <c r="Q2" s="83"/>
      <c r="R2" s="38"/>
      <c r="S2" s="82" t="s">
        <v>1482</v>
      </c>
      <c r="T2" s="83" t="s">
        <v>1270</v>
      </c>
      <c r="U2" s="83"/>
      <c r="V2" s="38"/>
      <c r="W2" s="82" t="s">
        <v>1482</v>
      </c>
      <c r="X2" s="83" t="s">
        <v>1270</v>
      </c>
      <c r="Y2" s="83"/>
      <c r="Z2" s="38"/>
      <c r="AA2" s="82" t="s">
        <v>1482</v>
      </c>
      <c r="AB2" s="83" t="s">
        <v>1270</v>
      </c>
      <c r="AC2" s="83"/>
      <c r="AD2" s="38"/>
    </row>
    <row r="3" spans="1:30" ht="13.5" thickBot="1">
      <c r="A3" s="38"/>
      <c r="B3" s="16" t="s">
        <v>1269</v>
      </c>
      <c r="C3" s="37" t="str">
        <f>PROPER(units)</f>
        <v>Grams</v>
      </c>
      <c r="D3" s="37" t="str">
        <f>PROPER(units)</f>
        <v>Grams</v>
      </c>
      <c r="E3" s="37" t="s">
        <v>1275</v>
      </c>
      <c r="F3" s="37" t="s">
        <v>473</v>
      </c>
      <c r="G3" s="37" t="s">
        <v>474</v>
      </c>
      <c r="H3" s="37" t="s">
        <v>475</v>
      </c>
      <c r="I3" s="36" t="s">
        <v>1474</v>
      </c>
      <c r="J3" s="132">
        <f>Target</f>
        <v>3369.4632000000006</v>
      </c>
      <c r="K3" s="16" t="s">
        <v>1269</v>
      </c>
      <c r="L3" s="37" t="str">
        <f>PROPER(units)</f>
        <v>Grams</v>
      </c>
      <c r="M3" s="36" t="s">
        <v>1474</v>
      </c>
      <c r="N3" s="38"/>
      <c r="O3" s="16" t="s">
        <v>1269</v>
      </c>
      <c r="P3" s="37" t="str">
        <f>PROPER(units)</f>
        <v>Grams</v>
      </c>
      <c r="Q3" s="36" t="s">
        <v>1474</v>
      </c>
      <c r="R3" s="38"/>
      <c r="S3" s="16" t="s">
        <v>1269</v>
      </c>
      <c r="T3" s="37" t="str">
        <f>PROPER(units)</f>
        <v>Grams</v>
      </c>
      <c r="U3" s="36" t="s">
        <v>1474</v>
      </c>
      <c r="V3" s="38"/>
      <c r="W3" s="16" t="s">
        <v>1269</v>
      </c>
      <c r="X3" s="37" t="str">
        <f>PROPER(units)</f>
        <v>Grams</v>
      </c>
      <c r="Y3" s="36" t="s">
        <v>1474</v>
      </c>
      <c r="Z3" s="38"/>
      <c r="AA3" s="16" t="s">
        <v>1269</v>
      </c>
      <c r="AB3" s="37" t="str">
        <f>PROPER(units)</f>
        <v>Grams</v>
      </c>
      <c r="AC3" s="36" t="s">
        <v>1474</v>
      </c>
      <c r="AD3" s="38"/>
    </row>
    <row r="4" spans="1:30">
      <c r="A4" s="117">
        <v>1</v>
      </c>
      <c r="B4" s="45">
        <f t="shared" ref="B4:B10" ca="1" si="0">INDEX(INDIRECT(Body.db),A4,1)</f>
        <v>0</v>
      </c>
      <c r="C4" s="104">
        <f t="shared" ref="C4:C10" ca="1" si="1">IF(B4&gt;0,IF(G4-E4&gt;E4-H4,H4,G4),)</f>
        <v>0</v>
      </c>
      <c r="D4" s="48">
        <f t="shared" ref="D4:D10" ca="1" si="2">INDEX(INDIRECT(VLOOKUP(Body.type,Body_type,5,FALSE)),A4,2)</f>
        <v>0</v>
      </c>
      <c r="E4" s="104">
        <f t="shared" ref="E4:E10" ca="1" si="3">IF(B4&gt;0,D4*$J$4,)</f>
        <v>0</v>
      </c>
      <c r="F4" s="104">
        <f t="shared" ref="F4:F10" ca="1" si="4">IF(B4&gt;0,VLOOKUP(B4,Food_Database,9,FALSE),)</f>
        <v>0</v>
      </c>
      <c r="G4" s="104">
        <f t="shared" ref="G4:G10" ca="1" si="5">IF(B4&gt;0,CEILING(E4,F4),)</f>
        <v>0</v>
      </c>
      <c r="H4" s="104">
        <f t="shared" ref="H4:H10" ca="1" si="6">IF(B4&gt;0,FLOOR(E4,F4),)</f>
        <v>0</v>
      </c>
      <c r="I4" s="41">
        <f t="shared" ref="I4:I10" ca="1" si="7">IF(B4&gt;0,VLOOKUP(B4,Food_Database,2,FALSE)*C4/convert,)</f>
        <v>0</v>
      </c>
      <c r="J4" s="134" t="e">
        <f ca="1">J3/J2</f>
        <v>#DIV/0!</v>
      </c>
      <c r="K4" s="45"/>
      <c r="L4" s="48"/>
      <c r="M4" s="41">
        <f t="shared" ref="M4:M10" si="8">IF(K4&gt;0,VLOOKUP(K4,Food_Database,2,FALSE)*L4/convert,)</f>
        <v>0</v>
      </c>
      <c r="N4" s="38"/>
      <c r="O4" s="45"/>
      <c r="P4" s="48"/>
      <c r="Q4" s="41">
        <f t="shared" ref="Q4:Q10" si="9">IF(O4&gt;0,VLOOKUP(O4,Food_Database,2,FALSE)*P4/convert,)</f>
        <v>0</v>
      </c>
      <c r="R4" s="38"/>
      <c r="S4" s="45"/>
      <c r="T4" s="48"/>
      <c r="U4" s="41">
        <f t="shared" ref="U4:U10" si="10">IF(S4&gt;0,VLOOKUP(S4,Food_Database,2,FALSE)*T4/convert,)</f>
        <v>0</v>
      </c>
      <c r="V4" s="38"/>
      <c r="W4" s="45"/>
      <c r="X4" s="48"/>
      <c r="Y4" s="41">
        <f t="shared" ref="Y4:Y10" si="11">IF(W4&gt;0,VLOOKUP(W4,Food_Database,2,FALSE)*X4/convert,)</f>
        <v>0</v>
      </c>
      <c r="Z4" s="38"/>
      <c r="AA4" s="45"/>
      <c r="AB4" s="48"/>
      <c r="AC4" s="41">
        <f t="shared" ref="AC4:AC10" si="12">IF(AA4&gt;0,VLOOKUP(AA4,Food_Database,2,FALSE)*AB4/convert,)</f>
        <v>0</v>
      </c>
      <c r="AD4" s="38"/>
    </row>
    <row r="5" spans="1:30">
      <c r="A5" s="117">
        <v>2</v>
      </c>
      <c r="B5" s="46">
        <f t="shared" ca="1" si="0"/>
        <v>0</v>
      </c>
      <c r="C5" s="105">
        <f t="shared" ca="1" si="1"/>
        <v>0</v>
      </c>
      <c r="D5" s="49">
        <f t="shared" ca="1" si="2"/>
        <v>0</v>
      </c>
      <c r="E5" s="105">
        <f t="shared" ca="1" si="3"/>
        <v>0</v>
      </c>
      <c r="F5" s="105">
        <f t="shared" ca="1" si="4"/>
        <v>0</v>
      </c>
      <c r="G5" s="105">
        <f t="shared" ca="1" si="5"/>
        <v>0</v>
      </c>
      <c r="H5" s="105">
        <f t="shared" ca="1" si="6"/>
        <v>0</v>
      </c>
      <c r="I5" s="41">
        <f t="shared" ca="1" si="7"/>
        <v>0</v>
      </c>
      <c r="J5" s="118"/>
      <c r="K5" s="46"/>
      <c r="L5" s="49"/>
      <c r="M5" s="41">
        <f t="shared" si="8"/>
        <v>0</v>
      </c>
      <c r="N5" s="38"/>
      <c r="O5" s="46"/>
      <c r="P5" s="49"/>
      <c r="Q5" s="41">
        <f t="shared" si="9"/>
        <v>0</v>
      </c>
      <c r="R5" s="38"/>
      <c r="S5" s="46"/>
      <c r="T5" s="49"/>
      <c r="U5" s="41">
        <f t="shared" si="10"/>
        <v>0</v>
      </c>
      <c r="V5" s="38"/>
      <c r="W5" s="46"/>
      <c r="X5" s="49"/>
      <c r="Y5" s="41">
        <f t="shared" si="11"/>
        <v>0</v>
      </c>
      <c r="Z5" s="38"/>
      <c r="AA5" s="46"/>
      <c r="AB5" s="49"/>
      <c r="AC5" s="41">
        <f t="shared" si="12"/>
        <v>0</v>
      </c>
      <c r="AD5" s="38"/>
    </row>
    <row r="6" spans="1:30">
      <c r="A6" s="117">
        <v>3</v>
      </c>
      <c r="B6" s="46">
        <f t="shared" ca="1" si="0"/>
        <v>0</v>
      </c>
      <c r="C6" s="105">
        <f t="shared" ca="1" si="1"/>
        <v>0</v>
      </c>
      <c r="D6" s="49">
        <f t="shared" ca="1" si="2"/>
        <v>0</v>
      </c>
      <c r="E6" s="105">
        <f t="shared" ca="1" si="3"/>
        <v>0</v>
      </c>
      <c r="F6" s="105">
        <f t="shared" ca="1" si="4"/>
        <v>0</v>
      </c>
      <c r="G6" s="105">
        <f t="shared" ca="1" si="5"/>
        <v>0</v>
      </c>
      <c r="H6" s="105">
        <f t="shared" ca="1" si="6"/>
        <v>0</v>
      </c>
      <c r="I6" s="41">
        <f t="shared" ca="1" si="7"/>
        <v>0</v>
      </c>
      <c r="J6" s="38"/>
      <c r="K6" s="46"/>
      <c r="L6" s="49"/>
      <c r="M6" s="41">
        <f t="shared" si="8"/>
        <v>0</v>
      </c>
      <c r="N6" s="38"/>
      <c r="O6" s="46"/>
      <c r="P6" s="49"/>
      <c r="Q6" s="41">
        <f t="shared" si="9"/>
        <v>0</v>
      </c>
      <c r="R6" s="38"/>
      <c r="S6" s="46"/>
      <c r="T6" s="49"/>
      <c r="U6" s="41">
        <f t="shared" si="10"/>
        <v>0</v>
      </c>
      <c r="V6" s="38"/>
      <c r="W6" s="46"/>
      <c r="X6" s="49"/>
      <c r="Y6" s="41">
        <f t="shared" si="11"/>
        <v>0</v>
      </c>
      <c r="Z6" s="38"/>
      <c r="AA6" s="46"/>
      <c r="AB6" s="49"/>
      <c r="AC6" s="41">
        <f t="shared" si="12"/>
        <v>0</v>
      </c>
      <c r="AD6" s="38"/>
    </row>
    <row r="7" spans="1:30">
      <c r="A7" s="117">
        <v>4</v>
      </c>
      <c r="B7" s="46">
        <f t="shared" ca="1" si="0"/>
        <v>0</v>
      </c>
      <c r="C7" s="105">
        <f t="shared" ca="1" si="1"/>
        <v>0</v>
      </c>
      <c r="D7" s="49">
        <f t="shared" ca="1" si="2"/>
        <v>0</v>
      </c>
      <c r="E7" s="105">
        <f t="shared" ca="1" si="3"/>
        <v>0</v>
      </c>
      <c r="F7" s="105">
        <f t="shared" ca="1" si="4"/>
        <v>0</v>
      </c>
      <c r="G7" s="105">
        <f t="shared" ca="1" si="5"/>
        <v>0</v>
      </c>
      <c r="H7" s="105">
        <f t="shared" ca="1" si="6"/>
        <v>0</v>
      </c>
      <c r="I7" s="41">
        <f t="shared" ca="1" si="7"/>
        <v>0</v>
      </c>
      <c r="J7" s="38"/>
      <c r="K7" s="46"/>
      <c r="L7" s="49"/>
      <c r="M7" s="41">
        <f t="shared" si="8"/>
        <v>0</v>
      </c>
      <c r="N7" s="38"/>
      <c r="O7" s="46"/>
      <c r="P7" s="49"/>
      <c r="Q7" s="41">
        <f t="shared" si="9"/>
        <v>0</v>
      </c>
      <c r="R7" s="38"/>
      <c r="S7" s="46"/>
      <c r="T7" s="49"/>
      <c r="U7" s="41">
        <f t="shared" si="10"/>
        <v>0</v>
      </c>
      <c r="V7" s="38"/>
      <c r="W7" s="46"/>
      <c r="X7" s="49"/>
      <c r="Y7" s="41">
        <f t="shared" si="11"/>
        <v>0</v>
      </c>
      <c r="Z7" s="38"/>
      <c r="AA7" s="46"/>
      <c r="AB7" s="49"/>
      <c r="AC7" s="41">
        <f t="shared" si="12"/>
        <v>0</v>
      </c>
      <c r="AD7" s="38"/>
    </row>
    <row r="8" spans="1:30">
      <c r="A8" s="117">
        <v>5</v>
      </c>
      <c r="B8" s="46">
        <f t="shared" ca="1" si="0"/>
        <v>0</v>
      </c>
      <c r="C8" s="105">
        <f t="shared" ca="1" si="1"/>
        <v>0</v>
      </c>
      <c r="D8" s="49">
        <f t="shared" ca="1" si="2"/>
        <v>0</v>
      </c>
      <c r="E8" s="105">
        <f t="shared" ca="1" si="3"/>
        <v>0</v>
      </c>
      <c r="F8" s="105">
        <f t="shared" ca="1" si="4"/>
        <v>0</v>
      </c>
      <c r="G8" s="105">
        <f t="shared" ca="1" si="5"/>
        <v>0</v>
      </c>
      <c r="H8" s="105">
        <f t="shared" ca="1" si="6"/>
        <v>0</v>
      </c>
      <c r="I8" s="41">
        <f t="shared" ca="1" si="7"/>
        <v>0</v>
      </c>
      <c r="J8" s="3"/>
      <c r="K8" s="46"/>
      <c r="L8" s="49"/>
      <c r="M8" s="41">
        <f t="shared" si="8"/>
        <v>0</v>
      </c>
      <c r="N8" s="3"/>
      <c r="O8" s="46"/>
      <c r="P8" s="49"/>
      <c r="Q8" s="41">
        <f t="shared" si="9"/>
        <v>0</v>
      </c>
      <c r="R8" s="3"/>
      <c r="S8" s="46"/>
      <c r="T8" s="49"/>
      <c r="U8" s="41">
        <f t="shared" si="10"/>
        <v>0</v>
      </c>
      <c r="V8" s="3"/>
      <c r="W8" s="46"/>
      <c r="X8" s="49"/>
      <c r="Y8" s="41">
        <f t="shared" si="11"/>
        <v>0</v>
      </c>
      <c r="Z8" s="3"/>
      <c r="AA8" s="46"/>
      <c r="AB8" s="49"/>
      <c r="AC8" s="41">
        <f t="shared" si="12"/>
        <v>0</v>
      </c>
      <c r="AD8" s="3"/>
    </row>
    <row r="9" spans="1:30">
      <c r="A9" s="117">
        <v>6</v>
      </c>
      <c r="B9" s="46">
        <f t="shared" ca="1" si="0"/>
        <v>0</v>
      </c>
      <c r="C9" s="105">
        <f t="shared" ca="1" si="1"/>
        <v>0</v>
      </c>
      <c r="D9" s="49">
        <f t="shared" ca="1" si="2"/>
        <v>0</v>
      </c>
      <c r="E9" s="105">
        <f t="shared" ca="1" si="3"/>
        <v>0</v>
      </c>
      <c r="F9" s="105">
        <f t="shared" ca="1" si="4"/>
        <v>0</v>
      </c>
      <c r="G9" s="105">
        <f t="shared" ca="1" si="5"/>
        <v>0</v>
      </c>
      <c r="H9" s="105">
        <f t="shared" ca="1" si="6"/>
        <v>0</v>
      </c>
      <c r="I9" s="41">
        <f t="shared" ca="1" si="7"/>
        <v>0</v>
      </c>
      <c r="J9" s="4"/>
      <c r="K9" s="46"/>
      <c r="L9" s="49"/>
      <c r="M9" s="41">
        <f t="shared" si="8"/>
        <v>0</v>
      </c>
      <c r="N9" s="4"/>
      <c r="O9" s="46"/>
      <c r="P9" s="49"/>
      <c r="Q9" s="41">
        <f t="shared" si="9"/>
        <v>0</v>
      </c>
      <c r="R9" s="4"/>
      <c r="S9" s="46"/>
      <c r="T9" s="49"/>
      <c r="U9" s="41">
        <f t="shared" si="10"/>
        <v>0</v>
      </c>
      <c r="V9" s="4"/>
      <c r="W9" s="46"/>
      <c r="X9" s="49"/>
      <c r="Y9" s="41">
        <f t="shared" si="11"/>
        <v>0</v>
      </c>
      <c r="Z9" s="4"/>
      <c r="AA9" s="46"/>
      <c r="AB9" s="49"/>
      <c r="AC9" s="41">
        <f t="shared" si="12"/>
        <v>0</v>
      </c>
      <c r="AD9" s="4"/>
    </row>
    <row r="10" spans="1:30" ht="13.5" thickBot="1">
      <c r="A10" s="117">
        <v>7</v>
      </c>
      <c r="B10" s="47">
        <f t="shared" ca="1" si="0"/>
        <v>0</v>
      </c>
      <c r="C10" s="106">
        <f t="shared" ca="1" si="1"/>
        <v>0</v>
      </c>
      <c r="D10" s="50">
        <f t="shared" ca="1" si="2"/>
        <v>0</v>
      </c>
      <c r="E10" s="106">
        <f t="shared" ca="1" si="3"/>
        <v>0</v>
      </c>
      <c r="F10" s="106">
        <f t="shared" ca="1" si="4"/>
        <v>0</v>
      </c>
      <c r="G10" s="106">
        <f t="shared" ca="1" si="5"/>
        <v>0</v>
      </c>
      <c r="H10" s="106">
        <f t="shared" ca="1" si="6"/>
        <v>0</v>
      </c>
      <c r="I10" s="44">
        <f t="shared" ca="1" si="7"/>
        <v>0</v>
      </c>
      <c r="J10" s="3"/>
      <c r="K10" s="47"/>
      <c r="L10" s="50"/>
      <c r="M10" s="44">
        <f t="shared" si="8"/>
        <v>0</v>
      </c>
      <c r="N10" s="3"/>
      <c r="O10" s="47"/>
      <c r="P10" s="50"/>
      <c r="Q10" s="44">
        <f t="shared" si="9"/>
        <v>0</v>
      </c>
      <c r="R10" s="3"/>
      <c r="S10" s="47"/>
      <c r="T10" s="50"/>
      <c r="U10" s="44">
        <f t="shared" si="10"/>
        <v>0</v>
      </c>
      <c r="V10" s="3"/>
      <c r="W10" s="47"/>
      <c r="X10" s="50"/>
      <c r="Y10" s="44">
        <f t="shared" si="11"/>
        <v>0</v>
      </c>
      <c r="Z10" s="3"/>
      <c r="AA10" s="47"/>
      <c r="AB10" s="50"/>
      <c r="AC10" s="44">
        <f t="shared" si="12"/>
        <v>0</v>
      </c>
      <c r="AD10" s="3"/>
    </row>
    <row r="11" spans="1:30" ht="13.5" thickBot="1">
      <c r="A11" s="117">
        <v>8</v>
      </c>
      <c r="B11" s="77" t="s">
        <v>268</v>
      </c>
      <c r="C11" s="3"/>
      <c r="D11" s="3"/>
      <c r="E11" s="3"/>
      <c r="F11" s="3"/>
      <c r="G11" s="3"/>
      <c r="H11" s="3"/>
      <c r="I11" s="3"/>
      <c r="J11" s="3"/>
      <c r="K11" s="77" t="s">
        <v>268</v>
      </c>
      <c r="L11" s="3"/>
      <c r="M11" s="3"/>
      <c r="N11" s="3"/>
      <c r="O11" s="77" t="s">
        <v>268</v>
      </c>
      <c r="P11" s="3"/>
      <c r="Q11" s="3"/>
      <c r="R11" s="3"/>
      <c r="S11" s="77" t="s">
        <v>268</v>
      </c>
      <c r="T11" s="3"/>
      <c r="U11" s="3"/>
      <c r="V11" s="3"/>
      <c r="W11" s="77" t="s">
        <v>268</v>
      </c>
      <c r="X11" s="3"/>
      <c r="Y11" s="3"/>
      <c r="Z11" s="3"/>
      <c r="AA11" s="77" t="s">
        <v>268</v>
      </c>
      <c r="AB11" s="3"/>
      <c r="AC11" s="3"/>
      <c r="AD11" s="3"/>
    </row>
    <row r="12" spans="1:30" ht="14.25" thickTop="1" thickBot="1">
      <c r="A12" s="117">
        <v>9</v>
      </c>
      <c r="B12" s="78"/>
      <c r="C12" s="79"/>
      <c r="D12" s="79" t="s">
        <v>1271</v>
      </c>
      <c r="E12" s="79"/>
      <c r="F12" s="79"/>
      <c r="G12" s="79"/>
      <c r="H12" s="79"/>
      <c r="I12" s="81">
        <f ca="1">SUM(I15:I21)</f>
        <v>0</v>
      </c>
      <c r="J12" s="3"/>
      <c r="K12" s="78"/>
      <c r="L12" s="79" t="s">
        <v>1271</v>
      </c>
      <c r="M12" s="81">
        <f>SUM(M15:M21)</f>
        <v>0</v>
      </c>
      <c r="N12" s="3"/>
      <c r="O12" s="78"/>
      <c r="P12" s="79" t="s">
        <v>1271</v>
      </c>
      <c r="Q12" s="81">
        <f>SUM(Q15:Q21)</f>
        <v>0</v>
      </c>
      <c r="R12" s="3"/>
      <c r="S12" s="78"/>
      <c r="T12" s="79" t="s">
        <v>1271</v>
      </c>
      <c r="U12" s="81">
        <f>SUM(U15:U21)</f>
        <v>0</v>
      </c>
      <c r="V12" s="3"/>
      <c r="W12" s="78"/>
      <c r="X12" s="79" t="s">
        <v>1271</v>
      </c>
      <c r="Y12" s="81">
        <f>SUM(Y15:Y21)</f>
        <v>0</v>
      </c>
      <c r="Z12" s="3"/>
      <c r="AA12" s="78"/>
      <c r="AB12" s="79" t="s">
        <v>1271</v>
      </c>
      <c r="AC12" s="81">
        <f>SUM(AC15:AC21)</f>
        <v>0</v>
      </c>
      <c r="AD12" s="3"/>
    </row>
    <row r="13" spans="1:30" ht="13.5" thickBot="1">
      <c r="A13" s="117">
        <v>10</v>
      </c>
      <c r="B13" s="82" t="s">
        <v>200</v>
      </c>
      <c r="C13" s="83"/>
      <c r="D13" s="83" t="s">
        <v>1270</v>
      </c>
      <c r="E13" s="83"/>
      <c r="F13" s="83"/>
      <c r="G13" s="83"/>
      <c r="H13" s="83"/>
      <c r="I13" s="83"/>
      <c r="J13" s="3"/>
      <c r="K13" s="82" t="s">
        <v>1479</v>
      </c>
      <c r="L13" s="83" t="s">
        <v>1270</v>
      </c>
      <c r="M13" s="83"/>
      <c r="N13" s="3"/>
      <c r="O13" s="82" t="s">
        <v>1479</v>
      </c>
      <c r="P13" s="83" t="s">
        <v>1270</v>
      </c>
      <c r="Q13" s="83"/>
      <c r="R13" s="3"/>
      <c r="S13" s="82" t="s">
        <v>1479</v>
      </c>
      <c r="T13" s="83" t="s">
        <v>1270</v>
      </c>
      <c r="U13" s="83"/>
      <c r="V13" s="3"/>
      <c r="W13" s="82" t="s">
        <v>1479</v>
      </c>
      <c r="X13" s="83" t="s">
        <v>1270</v>
      </c>
      <c r="Y13" s="83"/>
      <c r="Z13" s="3"/>
      <c r="AA13" s="82" t="s">
        <v>1479</v>
      </c>
      <c r="AB13" s="83" t="s">
        <v>1270</v>
      </c>
      <c r="AC13" s="83"/>
      <c r="AD13" s="3"/>
    </row>
    <row r="14" spans="1:30" ht="13.5" thickBot="1">
      <c r="A14" s="117">
        <v>11</v>
      </c>
      <c r="B14" s="16" t="s">
        <v>1269</v>
      </c>
      <c r="C14" s="37"/>
      <c r="D14" s="37" t="str">
        <f>PROPER(units)</f>
        <v>Grams</v>
      </c>
      <c r="E14" s="37"/>
      <c r="F14" s="37"/>
      <c r="G14" s="37"/>
      <c r="H14" s="37"/>
      <c r="I14" s="36" t="s">
        <v>1474</v>
      </c>
      <c r="J14" s="3"/>
      <c r="K14" s="16" t="s">
        <v>1269</v>
      </c>
      <c r="L14" s="37" t="str">
        <f>PROPER(units)</f>
        <v>Grams</v>
      </c>
      <c r="M14" s="36" t="s">
        <v>1474</v>
      </c>
      <c r="N14" s="3"/>
      <c r="O14" s="16" t="s">
        <v>1269</v>
      </c>
      <c r="P14" s="37" t="str">
        <f>PROPER(units)</f>
        <v>Grams</v>
      </c>
      <c r="Q14" s="36" t="s">
        <v>1474</v>
      </c>
      <c r="R14" s="3"/>
      <c r="S14" s="16" t="s">
        <v>1269</v>
      </c>
      <c r="T14" s="37" t="str">
        <f>PROPER(units)</f>
        <v>Grams</v>
      </c>
      <c r="U14" s="36" t="s">
        <v>1474</v>
      </c>
      <c r="V14" s="3"/>
      <c r="W14" s="16" t="s">
        <v>1269</v>
      </c>
      <c r="X14" s="37" t="str">
        <f>PROPER(units)</f>
        <v>Grams</v>
      </c>
      <c r="Y14" s="36" t="s">
        <v>1474</v>
      </c>
      <c r="Z14" s="3"/>
      <c r="AA14" s="16" t="s">
        <v>1269</v>
      </c>
      <c r="AB14" s="37" t="str">
        <f>PROPER(units)</f>
        <v>Grams</v>
      </c>
      <c r="AC14" s="36" t="s">
        <v>1474</v>
      </c>
      <c r="AD14" s="3"/>
    </row>
    <row r="15" spans="1:30">
      <c r="A15" s="117">
        <v>12</v>
      </c>
      <c r="B15" s="45">
        <f t="shared" ref="B15:B21" ca="1" si="13">INDEX(INDIRECT(Body.db),A15,1)</f>
        <v>0</v>
      </c>
      <c r="C15" s="104">
        <f t="shared" ref="C15:C21" ca="1" si="14">IF(B15&gt;0,IF(G15-E15&gt;E15-H15,H15,G15),)</f>
        <v>0</v>
      </c>
      <c r="D15" s="48">
        <f t="shared" ref="D15:D21" ca="1" si="15">INDEX(INDIRECT(VLOOKUP(Body.type,Body_type,5,FALSE)),A15,2)</f>
        <v>0</v>
      </c>
      <c r="E15" s="104">
        <f t="shared" ref="E15:E21" ca="1" si="16">IF(B15&gt;0,D15*$J$4,)</f>
        <v>0</v>
      </c>
      <c r="F15" s="104">
        <f t="shared" ref="F15:F21" ca="1" si="17">IF(B15&gt;0,VLOOKUP(B15,Food_Database,9,FALSE),)</f>
        <v>0</v>
      </c>
      <c r="G15" s="104">
        <f t="shared" ref="G15:G21" ca="1" si="18">IF(B15&gt;0,CEILING(E15,F15),)</f>
        <v>0</v>
      </c>
      <c r="H15" s="104">
        <f t="shared" ref="H15:H21" ca="1" si="19">IF(B15&gt;0,FLOOR(E15,F15),)</f>
        <v>0</v>
      </c>
      <c r="I15" s="41">
        <f t="shared" ref="I15:I21" ca="1" si="20">IF(B15&gt;0,VLOOKUP(B15,Food_Database,2,FALSE)*C15/convert,)</f>
        <v>0</v>
      </c>
      <c r="J15" s="3"/>
      <c r="K15" s="45"/>
      <c r="L15" s="48"/>
      <c r="M15" s="41">
        <f t="shared" ref="M15:M21" si="21">IF(K15&gt;0,VLOOKUP(K15,Food_Database,2,FALSE)*L15/convert,)</f>
        <v>0</v>
      </c>
      <c r="N15" s="3"/>
      <c r="O15" s="45"/>
      <c r="P15" s="48"/>
      <c r="Q15" s="41">
        <f t="shared" ref="Q15:Q21" si="22">IF(O15&gt;0,VLOOKUP(O15,Food_Database,2,FALSE)*P15/convert,)</f>
        <v>0</v>
      </c>
      <c r="R15" s="3"/>
      <c r="S15" s="45"/>
      <c r="T15" s="48"/>
      <c r="U15" s="41">
        <f t="shared" ref="U15:U21" si="23">IF(S15&gt;0,VLOOKUP(S15,Food_Database,2,FALSE)*T15/convert,)</f>
        <v>0</v>
      </c>
      <c r="V15" s="3"/>
      <c r="W15" s="45"/>
      <c r="X15" s="48"/>
      <c r="Y15" s="41">
        <f t="shared" ref="Y15:Y21" si="24">IF(W15&gt;0,VLOOKUP(W15,Food_Database,2,FALSE)*X15/convert,)</f>
        <v>0</v>
      </c>
      <c r="Z15" s="3"/>
      <c r="AA15" s="45"/>
      <c r="AB15" s="48"/>
      <c r="AC15" s="41">
        <f t="shared" ref="AC15:AC21" si="25">IF(AA15&gt;0,VLOOKUP(AA15,Food_Database,2,FALSE)*AB15/convert,)</f>
        <v>0</v>
      </c>
      <c r="AD15" s="3"/>
    </row>
    <row r="16" spans="1:30">
      <c r="A16" s="117">
        <v>13</v>
      </c>
      <c r="B16" s="46">
        <f t="shared" ca="1" si="13"/>
        <v>0</v>
      </c>
      <c r="C16" s="105">
        <f t="shared" ca="1" si="14"/>
        <v>0</v>
      </c>
      <c r="D16" s="49">
        <f t="shared" ca="1" si="15"/>
        <v>0</v>
      </c>
      <c r="E16" s="105">
        <f t="shared" ca="1" si="16"/>
        <v>0</v>
      </c>
      <c r="F16" s="105">
        <f t="shared" ca="1" si="17"/>
        <v>0</v>
      </c>
      <c r="G16" s="105">
        <f t="shared" ca="1" si="18"/>
        <v>0</v>
      </c>
      <c r="H16" s="105">
        <f t="shared" ca="1" si="19"/>
        <v>0</v>
      </c>
      <c r="I16" s="41">
        <f t="shared" ca="1" si="20"/>
        <v>0</v>
      </c>
      <c r="J16" s="3"/>
      <c r="K16" s="46"/>
      <c r="L16" s="49"/>
      <c r="M16" s="41">
        <f t="shared" si="21"/>
        <v>0</v>
      </c>
      <c r="N16" s="3"/>
      <c r="O16" s="46"/>
      <c r="P16" s="49"/>
      <c r="Q16" s="41">
        <f t="shared" si="22"/>
        <v>0</v>
      </c>
      <c r="R16" s="3"/>
      <c r="S16" s="46"/>
      <c r="T16" s="49"/>
      <c r="U16" s="41">
        <f t="shared" si="23"/>
        <v>0</v>
      </c>
      <c r="V16" s="3"/>
      <c r="W16" s="46"/>
      <c r="X16" s="49"/>
      <c r="Y16" s="41">
        <f t="shared" si="24"/>
        <v>0</v>
      </c>
      <c r="Z16" s="3"/>
      <c r="AA16" s="46"/>
      <c r="AB16" s="49"/>
      <c r="AC16" s="41">
        <f t="shared" si="25"/>
        <v>0</v>
      </c>
      <c r="AD16" s="3"/>
    </row>
    <row r="17" spans="1:30">
      <c r="A17" s="117">
        <v>14</v>
      </c>
      <c r="B17" s="46">
        <f t="shared" ca="1" si="13"/>
        <v>0</v>
      </c>
      <c r="C17" s="105">
        <f t="shared" ca="1" si="14"/>
        <v>0</v>
      </c>
      <c r="D17" s="49">
        <f t="shared" ca="1" si="15"/>
        <v>0</v>
      </c>
      <c r="E17" s="105">
        <f t="shared" ca="1" si="16"/>
        <v>0</v>
      </c>
      <c r="F17" s="105">
        <f t="shared" ca="1" si="17"/>
        <v>0</v>
      </c>
      <c r="G17" s="105">
        <f t="shared" ca="1" si="18"/>
        <v>0</v>
      </c>
      <c r="H17" s="105">
        <f t="shared" ca="1" si="19"/>
        <v>0</v>
      </c>
      <c r="I17" s="41">
        <f t="shared" ca="1" si="20"/>
        <v>0</v>
      </c>
      <c r="J17" s="3"/>
      <c r="K17" s="46"/>
      <c r="L17" s="49"/>
      <c r="M17" s="41">
        <f t="shared" si="21"/>
        <v>0</v>
      </c>
      <c r="N17" s="3"/>
      <c r="O17" s="46"/>
      <c r="P17" s="49"/>
      <c r="Q17" s="41">
        <f t="shared" si="22"/>
        <v>0</v>
      </c>
      <c r="R17" s="3"/>
      <c r="S17" s="46"/>
      <c r="T17" s="49"/>
      <c r="U17" s="41">
        <f t="shared" si="23"/>
        <v>0</v>
      </c>
      <c r="V17" s="3"/>
      <c r="W17" s="46"/>
      <c r="X17" s="49"/>
      <c r="Y17" s="41">
        <f t="shared" si="24"/>
        <v>0</v>
      </c>
      <c r="Z17" s="3"/>
      <c r="AA17" s="46"/>
      <c r="AB17" s="49"/>
      <c r="AC17" s="41">
        <f t="shared" si="25"/>
        <v>0</v>
      </c>
      <c r="AD17" s="3"/>
    </row>
    <row r="18" spans="1:30">
      <c r="A18" s="117">
        <v>15</v>
      </c>
      <c r="B18" s="46">
        <f t="shared" ca="1" si="13"/>
        <v>0</v>
      </c>
      <c r="C18" s="105">
        <f t="shared" ca="1" si="14"/>
        <v>0</v>
      </c>
      <c r="D18" s="49">
        <f t="shared" ca="1" si="15"/>
        <v>0</v>
      </c>
      <c r="E18" s="105">
        <f t="shared" ca="1" si="16"/>
        <v>0</v>
      </c>
      <c r="F18" s="105">
        <f t="shared" ca="1" si="17"/>
        <v>0</v>
      </c>
      <c r="G18" s="105">
        <f t="shared" ca="1" si="18"/>
        <v>0</v>
      </c>
      <c r="H18" s="105">
        <f t="shared" ca="1" si="19"/>
        <v>0</v>
      </c>
      <c r="I18" s="41">
        <f t="shared" ca="1" si="20"/>
        <v>0</v>
      </c>
      <c r="J18" s="3"/>
      <c r="K18" s="46"/>
      <c r="L18" s="49"/>
      <c r="M18" s="41">
        <f t="shared" si="21"/>
        <v>0</v>
      </c>
      <c r="N18" s="3"/>
      <c r="O18" s="46"/>
      <c r="P18" s="49"/>
      <c r="Q18" s="41">
        <f t="shared" si="22"/>
        <v>0</v>
      </c>
      <c r="R18" s="3"/>
      <c r="S18" s="46"/>
      <c r="T18" s="49"/>
      <c r="U18" s="41">
        <f t="shared" si="23"/>
        <v>0</v>
      </c>
      <c r="V18" s="3"/>
      <c r="W18" s="46"/>
      <c r="X18" s="49"/>
      <c r="Y18" s="41">
        <f t="shared" si="24"/>
        <v>0</v>
      </c>
      <c r="Z18" s="3"/>
      <c r="AA18" s="46"/>
      <c r="AB18" s="49"/>
      <c r="AC18" s="41">
        <f t="shared" si="25"/>
        <v>0</v>
      </c>
      <c r="AD18" s="3"/>
    </row>
    <row r="19" spans="1:30">
      <c r="A19" s="117">
        <v>16</v>
      </c>
      <c r="B19" s="46">
        <f t="shared" ca="1" si="13"/>
        <v>0</v>
      </c>
      <c r="C19" s="105">
        <f t="shared" ca="1" si="14"/>
        <v>0</v>
      </c>
      <c r="D19" s="49">
        <f t="shared" ca="1" si="15"/>
        <v>0</v>
      </c>
      <c r="E19" s="105">
        <f t="shared" ca="1" si="16"/>
        <v>0</v>
      </c>
      <c r="F19" s="105">
        <f t="shared" ca="1" si="17"/>
        <v>0</v>
      </c>
      <c r="G19" s="105">
        <f t="shared" ca="1" si="18"/>
        <v>0</v>
      </c>
      <c r="H19" s="105">
        <f t="shared" ca="1" si="19"/>
        <v>0</v>
      </c>
      <c r="I19" s="41">
        <f t="shared" ca="1" si="20"/>
        <v>0</v>
      </c>
      <c r="J19" s="3"/>
      <c r="K19" s="46"/>
      <c r="L19" s="49"/>
      <c r="M19" s="41">
        <f t="shared" si="21"/>
        <v>0</v>
      </c>
      <c r="N19" s="3"/>
      <c r="O19" s="46"/>
      <c r="P19" s="49"/>
      <c r="Q19" s="41">
        <f t="shared" si="22"/>
        <v>0</v>
      </c>
      <c r="R19" s="3"/>
      <c r="S19" s="46"/>
      <c r="T19" s="49"/>
      <c r="U19" s="41">
        <f t="shared" si="23"/>
        <v>0</v>
      </c>
      <c r="V19" s="3"/>
      <c r="W19" s="46"/>
      <c r="X19" s="49"/>
      <c r="Y19" s="41">
        <f t="shared" si="24"/>
        <v>0</v>
      </c>
      <c r="Z19" s="3"/>
      <c r="AA19" s="46"/>
      <c r="AB19" s="49"/>
      <c r="AC19" s="41">
        <f t="shared" si="25"/>
        <v>0</v>
      </c>
      <c r="AD19" s="3"/>
    </row>
    <row r="20" spans="1:30">
      <c r="A20" s="117">
        <v>17</v>
      </c>
      <c r="B20" s="46">
        <f t="shared" ca="1" si="13"/>
        <v>0</v>
      </c>
      <c r="C20" s="105">
        <f t="shared" ca="1" si="14"/>
        <v>0</v>
      </c>
      <c r="D20" s="49">
        <f t="shared" ca="1" si="15"/>
        <v>0</v>
      </c>
      <c r="E20" s="105">
        <f t="shared" ca="1" si="16"/>
        <v>0</v>
      </c>
      <c r="F20" s="105">
        <f t="shared" ca="1" si="17"/>
        <v>0</v>
      </c>
      <c r="G20" s="105">
        <f t="shared" ca="1" si="18"/>
        <v>0</v>
      </c>
      <c r="H20" s="105">
        <f t="shared" ca="1" si="19"/>
        <v>0</v>
      </c>
      <c r="I20" s="41">
        <f t="shared" ca="1" si="20"/>
        <v>0</v>
      </c>
      <c r="J20" s="3"/>
      <c r="K20" s="46"/>
      <c r="L20" s="49"/>
      <c r="M20" s="41">
        <f t="shared" si="21"/>
        <v>0</v>
      </c>
      <c r="N20" s="3"/>
      <c r="O20" s="46"/>
      <c r="P20" s="49"/>
      <c r="Q20" s="41">
        <f t="shared" si="22"/>
        <v>0</v>
      </c>
      <c r="R20" s="3"/>
      <c r="S20" s="46"/>
      <c r="T20" s="49"/>
      <c r="U20" s="41">
        <f t="shared" si="23"/>
        <v>0</v>
      </c>
      <c r="V20" s="3"/>
      <c r="W20" s="46"/>
      <c r="X20" s="49"/>
      <c r="Y20" s="41">
        <f t="shared" si="24"/>
        <v>0</v>
      </c>
      <c r="Z20" s="3"/>
      <c r="AA20" s="46"/>
      <c r="AB20" s="49"/>
      <c r="AC20" s="41">
        <f t="shared" si="25"/>
        <v>0</v>
      </c>
      <c r="AD20" s="3"/>
    </row>
    <row r="21" spans="1:30" ht="13.5" thickBot="1">
      <c r="A21" s="117">
        <v>18</v>
      </c>
      <c r="B21" s="47">
        <f t="shared" ca="1" si="13"/>
        <v>0</v>
      </c>
      <c r="C21" s="106">
        <f t="shared" ca="1" si="14"/>
        <v>0</v>
      </c>
      <c r="D21" s="50">
        <f t="shared" ca="1" si="15"/>
        <v>0</v>
      </c>
      <c r="E21" s="106">
        <f t="shared" ca="1" si="16"/>
        <v>0</v>
      </c>
      <c r="F21" s="106">
        <f t="shared" ca="1" si="17"/>
        <v>0</v>
      </c>
      <c r="G21" s="106">
        <f t="shared" ca="1" si="18"/>
        <v>0</v>
      </c>
      <c r="H21" s="106">
        <f t="shared" ca="1" si="19"/>
        <v>0</v>
      </c>
      <c r="I21" s="44">
        <f t="shared" ca="1" si="20"/>
        <v>0</v>
      </c>
      <c r="J21" s="3"/>
      <c r="K21" s="47"/>
      <c r="L21" s="50"/>
      <c r="M21" s="44">
        <f t="shared" si="21"/>
        <v>0</v>
      </c>
      <c r="N21" s="3"/>
      <c r="O21" s="47"/>
      <c r="P21" s="50"/>
      <c r="Q21" s="44">
        <f t="shared" si="22"/>
        <v>0</v>
      </c>
      <c r="R21" s="3"/>
      <c r="S21" s="47"/>
      <c r="T21" s="50"/>
      <c r="U21" s="44">
        <f t="shared" si="23"/>
        <v>0</v>
      </c>
      <c r="V21" s="3"/>
      <c r="W21" s="47"/>
      <c r="X21" s="50"/>
      <c r="Y21" s="44">
        <f t="shared" si="24"/>
        <v>0</v>
      </c>
      <c r="Z21" s="3"/>
      <c r="AA21" s="47"/>
      <c r="AB21" s="50"/>
      <c r="AC21" s="44">
        <f t="shared" si="25"/>
        <v>0</v>
      </c>
      <c r="AD21" s="3"/>
    </row>
    <row r="22" spans="1:30" ht="13.5" thickBot="1">
      <c r="A22" s="117">
        <v>19</v>
      </c>
      <c r="B22" s="77" t="s">
        <v>268</v>
      </c>
      <c r="C22" s="3"/>
      <c r="D22" s="3"/>
      <c r="E22" s="3"/>
      <c r="F22" s="3"/>
      <c r="G22" s="3"/>
      <c r="H22" s="3"/>
      <c r="I22" s="3"/>
      <c r="J22" s="3"/>
      <c r="K22" s="77" t="s">
        <v>268</v>
      </c>
      <c r="L22" s="3"/>
      <c r="M22" s="3"/>
      <c r="N22" s="3"/>
      <c r="O22" s="77" t="s">
        <v>268</v>
      </c>
      <c r="P22" s="3"/>
      <c r="Q22" s="3"/>
      <c r="R22" s="3"/>
      <c r="S22" s="77" t="s">
        <v>268</v>
      </c>
      <c r="T22" s="3"/>
      <c r="U22" s="3"/>
      <c r="V22" s="3"/>
      <c r="W22" s="77" t="s">
        <v>268</v>
      </c>
      <c r="X22" s="3"/>
      <c r="Y22" s="3"/>
      <c r="Z22" s="3"/>
      <c r="AA22" s="77" t="s">
        <v>268</v>
      </c>
      <c r="AB22" s="3"/>
      <c r="AC22" s="3"/>
      <c r="AD22" s="3"/>
    </row>
    <row r="23" spans="1:30" ht="14.25" thickTop="1" thickBot="1">
      <c r="A23" s="117">
        <v>20</v>
      </c>
      <c r="B23" s="78"/>
      <c r="C23" s="79"/>
      <c r="D23" s="79" t="s">
        <v>1271</v>
      </c>
      <c r="E23" s="79"/>
      <c r="F23" s="79"/>
      <c r="G23" s="79"/>
      <c r="H23" s="79"/>
      <c r="I23" s="81">
        <f ca="1">SUM(I26:I32)</f>
        <v>0</v>
      </c>
      <c r="J23" s="3"/>
      <c r="K23" s="78"/>
      <c r="L23" s="79" t="s">
        <v>1271</v>
      </c>
      <c r="M23" s="81">
        <f>SUM(M26:M32)</f>
        <v>0</v>
      </c>
      <c r="N23" s="3"/>
      <c r="O23" s="78"/>
      <c r="P23" s="79" t="s">
        <v>1271</v>
      </c>
      <c r="Q23" s="81">
        <f>SUM(Q26:Q32)</f>
        <v>0</v>
      </c>
      <c r="R23" s="3"/>
      <c r="S23" s="78"/>
      <c r="T23" s="79" t="s">
        <v>1271</v>
      </c>
      <c r="U23" s="81">
        <f>SUM(U26:U32)</f>
        <v>0</v>
      </c>
      <c r="V23" s="3"/>
      <c r="W23" s="78"/>
      <c r="X23" s="79" t="s">
        <v>1271</v>
      </c>
      <c r="Y23" s="81">
        <f>SUM(Y26:Y32)</f>
        <v>0</v>
      </c>
      <c r="Z23" s="3"/>
      <c r="AA23" s="78"/>
      <c r="AB23" s="79" t="s">
        <v>1271</v>
      </c>
      <c r="AC23" s="81">
        <f>SUM(AC26:AC32)</f>
        <v>0</v>
      </c>
      <c r="AD23" s="3"/>
    </row>
    <row r="24" spans="1:30" ht="13.5" thickBot="1">
      <c r="A24" s="117">
        <v>21</v>
      </c>
      <c r="B24" s="82" t="s">
        <v>1483</v>
      </c>
      <c r="C24" s="83"/>
      <c r="D24" s="83" t="s">
        <v>1270</v>
      </c>
      <c r="E24" s="83"/>
      <c r="F24" s="83"/>
      <c r="G24" s="83"/>
      <c r="H24" s="83"/>
      <c r="I24" s="83"/>
      <c r="J24" s="3"/>
      <c r="K24" s="82" t="s">
        <v>1483</v>
      </c>
      <c r="L24" s="83" t="s">
        <v>1270</v>
      </c>
      <c r="M24" s="83"/>
      <c r="N24" s="3"/>
      <c r="O24" s="82" t="s">
        <v>1483</v>
      </c>
      <c r="P24" s="83" t="s">
        <v>1270</v>
      </c>
      <c r="Q24" s="83"/>
      <c r="R24" s="3"/>
      <c r="S24" s="82" t="s">
        <v>1483</v>
      </c>
      <c r="T24" s="83" t="s">
        <v>1270</v>
      </c>
      <c r="U24" s="83"/>
      <c r="V24" s="3"/>
      <c r="W24" s="82" t="s">
        <v>1483</v>
      </c>
      <c r="X24" s="83" t="s">
        <v>1270</v>
      </c>
      <c r="Y24" s="83"/>
      <c r="Z24" s="3"/>
      <c r="AA24" s="82" t="s">
        <v>1483</v>
      </c>
      <c r="AB24" s="83" t="s">
        <v>1270</v>
      </c>
      <c r="AC24" s="83"/>
      <c r="AD24" s="3"/>
    </row>
    <row r="25" spans="1:30" ht="13.5" thickBot="1">
      <c r="A25" s="117">
        <v>22</v>
      </c>
      <c r="B25" s="16" t="s">
        <v>1269</v>
      </c>
      <c r="C25" s="37"/>
      <c r="D25" s="37" t="str">
        <f>PROPER(units)</f>
        <v>Grams</v>
      </c>
      <c r="E25" s="37"/>
      <c r="F25" s="37"/>
      <c r="G25" s="37"/>
      <c r="H25" s="37"/>
      <c r="I25" s="36" t="s">
        <v>1474</v>
      </c>
      <c r="J25" s="3"/>
      <c r="K25" s="16" t="s">
        <v>1269</v>
      </c>
      <c r="L25" s="37" t="str">
        <f>PROPER(units)</f>
        <v>Grams</v>
      </c>
      <c r="M25" s="36" t="s">
        <v>1474</v>
      </c>
      <c r="N25" s="3"/>
      <c r="O25" s="16" t="s">
        <v>1269</v>
      </c>
      <c r="P25" s="37" t="str">
        <f>PROPER(units)</f>
        <v>Grams</v>
      </c>
      <c r="Q25" s="36" t="s">
        <v>1474</v>
      </c>
      <c r="R25" s="3"/>
      <c r="S25" s="16" t="s">
        <v>1269</v>
      </c>
      <c r="T25" s="37" t="str">
        <f>PROPER(units)</f>
        <v>Grams</v>
      </c>
      <c r="U25" s="36" t="s">
        <v>1474</v>
      </c>
      <c r="V25" s="3"/>
      <c r="W25" s="16" t="s">
        <v>1269</v>
      </c>
      <c r="X25" s="37" t="str">
        <f>PROPER(units)</f>
        <v>Grams</v>
      </c>
      <c r="Y25" s="36" t="s">
        <v>1474</v>
      </c>
      <c r="Z25" s="3"/>
      <c r="AA25" s="16" t="s">
        <v>1269</v>
      </c>
      <c r="AB25" s="37" t="str">
        <f>PROPER(units)</f>
        <v>Grams</v>
      </c>
      <c r="AC25" s="36" t="s">
        <v>1474</v>
      </c>
      <c r="AD25" s="3"/>
    </row>
    <row r="26" spans="1:30">
      <c r="A26" s="117">
        <v>23</v>
      </c>
      <c r="B26" s="45">
        <f t="shared" ref="B26:B32" ca="1" si="26">INDEX(INDIRECT(Body.db),A26,1)</f>
        <v>0</v>
      </c>
      <c r="C26" s="104">
        <f t="shared" ref="C26:C32" ca="1" si="27">IF(B26&gt;0,IF(G26-E26&gt;E26-H26,H26,G26),)</f>
        <v>0</v>
      </c>
      <c r="D26" s="48">
        <f t="shared" ref="D26:D32" ca="1" si="28">INDEX(INDIRECT(VLOOKUP(Body.type,Body_type,5,FALSE)),A26,2)</f>
        <v>0</v>
      </c>
      <c r="E26" s="104">
        <f t="shared" ref="E26:E32" ca="1" si="29">IF(B26&gt;0,D26*$J$4,)</f>
        <v>0</v>
      </c>
      <c r="F26" s="104">
        <f t="shared" ref="F26:F32" ca="1" si="30">IF(B26&gt;0,VLOOKUP(B26,Food_Database,9,FALSE),)</f>
        <v>0</v>
      </c>
      <c r="G26" s="104">
        <f t="shared" ref="G26:G32" ca="1" si="31">IF(B26&gt;0,CEILING(E26,F26),)</f>
        <v>0</v>
      </c>
      <c r="H26" s="104">
        <f t="shared" ref="H26:H32" ca="1" si="32">IF(B26&gt;0,FLOOR(E26,F26),)</f>
        <v>0</v>
      </c>
      <c r="I26" s="41">
        <f t="shared" ref="I26:I32" ca="1" si="33">IF(B26&gt;0,VLOOKUP(B26,Food_Database,2,FALSE)*C26/convert,)</f>
        <v>0</v>
      </c>
      <c r="J26" s="3"/>
      <c r="K26" s="45"/>
      <c r="L26" s="51"/>
      <c r="M26" s="41">
        <f t="shared" ref="M26:M32" si="34">IF(K26&gt;0,VLOOKUP(K26,Food_Database,2,FALSE)*L26/convert,)</f>
        <v>0</v>
      </c>
      <c r="N26" s="3"/>
      <c r="O26" s="45"/>
      <c r="P26" s="51"/>
      <c r="Q26" s="41">
        <f t="shared" ref="Q26:Q32" si="35">IF(O26&gt;0,VLOOKUP(O26,Food_Database,2,FALSE)*P26/convert,)</f>
        <v>0</v>
      </c>
      <c r="R26" s="3"/>
      <c r="S26" s="45"/>
      <c r="T26" s="51"/>
      <c r="U26" s="41">
        <f t="shared" ref="U26:U32" si="36">IF(S26&gt;0,VLOOKUP(S26,Food_Database,2,FALSE)*T26/convert,)</f>
        <v>0</v>
      </c>
      <c r="V26" s="3"/>
      <c r="W26" s="45"/>
      <c r="X26" s="51"/>
      <c r="Y26" s="41">
        <f t="shared" ref="Y26:Y32" si="37">IF(W26&gt;0,VLOOKUP(W26,Food_Database,2,FALSE)*X26/convert,)</f>
        <v>0</v>
      </c>
      <c r="Z26" s="3"/>
      <c r="AA26" s="45"/>
      <c r="AB26" s="51"/>
      <c r="AC26" s="41">
        <f t="shared" ref="AC26:AC32" si="38">IF(AA26&gt;0,VLOOKUP(AA26,Food_Database,2,FALSE)*AB26/convert,)</f>
        <v>0</v>
      </c>
      <c r="AD26" s="3"/>
    </row>
    <row r="27" spans="1:30">
      <c r="A27" s="117">
        <v>24</v>
      </c>
      <c r="B27" s="46">
        <f t="shared" ca="1" si="26"/>
        <v>0</v>
      </c>
      <c r="C27" s="105">
        <f t="shared" ca="1" si="27"/>
        <v>0</v>
      </c>
      <c r="D27" s="49">
        <f t="shared" ca="1" si="28"/>
        <v>0</v>
      </c>
      <c r="E27" s="105">
        <f t="shared" ca="1" si="29"/>
        <v>0</v>
      </c>
      <c r="F27" s="105">
        <f t="shared" ca="1" si="30"/>
        <v>0</v>
      </c>
      <c r="G27" s="105">
        <f t="shared" ca="1" si="31"/>
        <v>0</v>
      </c>
      <c r="H27" s="105">
        <f t="shared" ca="1" si="32"/>
        <v>0</v>
      </c>
      <c r="I27" s="41">
        <f t="shared" ca="1" si="33"/>
        <v>0</v>
      </c>
      <c r="J27" s="3"/>
      <c r="K27" s="46"/>
      <c r="L27" s="52"/>
      <c r="M27" s="41">
        <f t="shared" si="34"/>
        <v>0</v>
      </c>
      <c r="N27" s="3"/>
      <c r="O27" s="46"/>
      <c r="P27" s="52"/>
      <c r="Q27" s="41">
        <f t="shared" si="35"/>
        <v>0</v>
      </c>
      <c r="R27" s="3"/>
      <c r="S27" s="46"/>
      <c r="T27" s="52"/>
      <c r="U27" s="41">
        <f t="shared" si="36"/>
        <v>0</v>
      </c>
      <c r="V27" s="3"/>
      <c r="W27" s="46"/>
      <c r="X27" s="52"/>
      <c r="Y27" s="41">
        <f t="shared" si="37"/>
        <v>0</v>
      </c>
      <c r="Z27" s="3"/>
      <c r="AA27" s="46"/>
      <c r="AB27" s="52"/>
      <c r="AC27" s="41">
        <f t="shared" si="38"/>
        <v>0</v>
      </c>
      <c r="AD27" s="3"/>
    </row>
    <row r="28" spans="1:30">
      <c r="A28" s="117">
        <v>25</v>
      </c>
      <c r="B28" s="46">
        <f t="shared" ca="1" si="26"/>
        <v>0</v>
      </c>
      <c r="C28" s="105">
        <f t="shared" ca="1" si="27"/>
        <v>0</v>
      </c>
      <c r="D28" s="49">
        <f t="shared" ca="1" si="28"/>
        <v>0</v>
      </c>
      <c r="E28" s="105">
        <f t="shared" ca="1" si="29"/>
        <v>0</v>
      </c>
      <c r="F28" s="105">
        <f t="shared" ca="1" si="30"/>
        <v>0</v>
      </c>
      <c r="G28" s="105">
        <f t="shared" ca="1" si="31"/>
        <v>0</v>
      </c>
      <c r="H28" s="105">
        <f t="shared" ca="1" si="32"/>
        <v>0</v>
      </c>
      <c r="I28" s="41">
        <f t="shared" ca="1" si="33"/>
        <v>0</v>
      </c>
      <c r="J28" s="3"/>
      <c r="K28" s="46"/>
      <c r="L28" s="52"/>
      <c r="M28" s="41">
        <f t="shared" si="34"/>
        <v>0</v>
      </c>
      <c r="N28" s="3"/>
      <c r="O28" s="46"/>
      <c r="P28" s="52"/>
      <c r="Q28" s="41">
        <f t="shared" si="35"/>
        <v>0</v>
      </c>
      <c r="R28" s="3"/>
      <c r="S28" s="46"/>
      <c r="T28" s="52"/>
      <c r="U28" s="41">
        <f t="shared" si="36"/>
        <v>0</v>
      </c>
      <c r="V28" s="3"/>
      <c r="W28" s="46"/>
      <c r="X28" s="52"/>
      <c r="Y28" s="41">
        <f t="shared" si="37"/>
        <v>0</v>
      </c>
      <c r="Z28" s="3"/>
      <c r="AA28" s="46"/>
      <c r="AB28" s="52"/>
      <c r="AC28" s="41">
        <f t="shared" si="38"/>
        <v>0</v>
      </c>
      <c r="AD28" s="3"/>
    </row>
    <row r="29" spans="1:30">
      <c r="A29" s="117">
        <v>26</v>
      </c>
      <c r="B29" s="46">
        <f t="shared" ca="1" si="26"/>
        <v>0</v>
      </c>
      <c r="C29" s="105">
        <f t="shared" ca="1" si="27"/>
        <v>0</v>
      </c>
      <c r="D29" s="49">
        <f t="shared" ca="1" si="28"/>
        <v>0</v>
      </c>
      <c r="E29" s="105">
        <f t="shared" ca="1" si="29"/>
        <v>0</v>
      </c>
      <c r="F29" s="105">
        <f t="shared" ca="1" si="30"/>
        <v>0</v>
      </c>
      <c r="G29" s="105">
        <f t="shared" ca="1" si="31"/>
        <v>0</v>
      </c>
      <c r="H29" s="105">
        <f t="shared" ca="1" si="32"/>
        <v>0</v>
      </c>
      <c r="I29" s="41">
        <f t="shared" ca="1" si="33"/>
        <v>0</v>
      </c>
      <c r="J29" s="3"/>
      <c r="K29" s="46"/>
      <c r="L29" s="52"/>
      <c r="M29" s="41">
        <f t="shared" si="34"/>
        <v>0</v>
      </c>
      <c r="N29" s="3"/>
      <c r="O29" s="46"/>
      <c r="P29" s="52"/>
      <c r="Q29" s="41">
        <f t="shared" si="35"/>
        <v>0</v>
      </c>
      <c r="R29" s="3"/>
      <c r="S29" s="46"/>
      <c r="T29" s="52"/>
      <c r="U29" s="41">
        <f t="shared" si="36"/>
        <v>0</v>
      </c>
      <c r="V29" s="3"/>
      <c r="W29" s="46"/>
      <c r="X29" s="52"/>
      <c r="Y29" s="41">
        <f t="shared" si="37"/>
        <v>0</v>
      </c>
      <c r="Z29" s="3"/>
      <c r="AA29" s="46"/>
      <c r="AB29" s="52"/>
      <c r="AC29" s="41">
        <f t="shared" si="38"/>
        <v>0</v>
      </c>
      <c r="AD29" s="3"/>
    </row>
    <row r="30" spans="1:30">
      <c r="A30" s="117">
        <v>27</v>
      </c>
      <c r="B30" s="46">
        <f t="shared" ca="1" si="26"/>
        <v>0</v>
      </c>
      <c r="C30" s="105">
        <f t="shared" ca="1" si="27"/>
        <v>0</v>
      </c>
      <c r="D30" s="49">
        <f t="shared" ca="1" si="28"/>
        <v>0</v>
      </c>
      <c r="E30" s="105">
        <f t="shared" ca="1" si="29"/>
        <v>0</v>
      </c>
      <c r="F30" s="105">
        <f t="shared" ca="1" si="30"/>
        <v>0</v>
      </c>
      <c r="G30" s="105">
        <f t="shared" ca="1" si="31"/>
        <v>0</v>
      </c>
      <c r="H30" s="105">
        <f t="shared" ca="1" si="32"/>
        <v>0</v>
      </c>
      <c r="I30" s="41">
        <f t="shared" ca="1" si="33"/>
        <v>0</v>
      </c>
      <c r="J30" s="3"/>
      <c r="K30" s="46"/>
      <c r="L30" s="52"/>
      <c r="M30" s="41">
        <f t="shared" si="34"/>
        <v>0</v>
      </c>
      <c r="N30" s="3"/>
      <c r="O30" s="46"/>
      <c r="P30" s="52"/>
      <c r="Q30" s="41">
        <f t="shared" si="35"/>
        <v>0</v>
      </c>
      <c r="R30" s="3"/>
      <c r="S30" s="46"/>
      <c r="T30" s="52"/>
      <c r="U30" s="41">
        <f t="shared" si="36"/>
        <v>0</v>
      </c>
      <c r="V30" s="3"/>
      <c r="W30" s="46"/>
      <c r="X30" s="52"/>
      <c r="Y30" s="41">
        <f t="shared" si="37"/>
        <v>0</v>
      </c>
      <c r="Z30" s="3"/>
      <c r="AA30" s="46"/>
      <c r="AB30" s="52"/>
      <c r="AC30" s="41">
        <f t="shared" si="38"/>
        <v>0</v>
      </c>
      <c r="AD30" s="3"/>
    </row>
    <row r="31" spans="1:30">
      <c r="A31" s="117">
        <v>28</v>
      </c>
      <c r="B31" s="46">
        <f t="shared" ca="1" si="26"/>
        <v>0</v>
      </c>
      <c r="C31" s="105">
        <f t="shared" ca="1" si="27"/>
        <v>0</v>
      </c>
      <c r="D31" s="49">
        <f t="shared" ca="1" si="28"/>
        <v>0</v>
      </c>
      <c r="E31" s="105">
        <f t="shared" ca="1" si="29"/>
        <v>0</v>
      </c>
      <c r="F31" s="105">
        <f t="shared" ca="1" si="30"/>
        <v>0</v>
      </c>
      <c r="G31" s="105">
        <f t="shared" ca="1" si="31"/>
        <v>0</v>
      </c>
      <c r="H31" s="105">
        <f t="shared" ca="1" si="32"/>
        <v>0</v>
      </c>
      <c r="I31" s="41">
        <f t="shared" ca="1" si="33"/>
        <v>0</v>
      </c>
      <c r="J31" s="3"/>
      <c r="K31" s="46"/>
      <c r="L31" s="52"/>
      <c r="M31" s="41">
        <f t="shared" si="34"/>
        <v>0</v>
      </c>
      <c r="N31" s="3"/>
      <c r="O31" s="46"/>
      <c r="P31" s="52"/>
      <c r="Q31" s="41">
        <f t="shared" si="35"/>
        <v>0</v>
      </c>
      <c r="R31" s="3"/>
      <c r="S31" s="46"/>
      <c r="T31" s="52"/>
      <c r="U31" s="41">
        <f t="shared" si="36"/>
        <v>0</v>
      </c>
      <c r="V31" s="3"/>
      <c r="W31" s="46"/>
      <c r="X31" s="52"/>
      <c r="Y31" s="41">
        <f t="shared" si="37"/>
        <v>0</v>
      </c>
      <c r="Z31" s="3"/>
      <c r="AA31" s="46"/>
      <c r="AB31" s="52"/>
      <c r="AC31" s="41">
        <f t="shared" si="38"/>
        <v>0</v>
      </c>
      <c r="AD31" s="3"/>
    </row>
    <row r="32" spans="1:30" ht="13.5" thickBot="1">
      <c r="A32" s="117">
        <v>29</v>
      </c>
      <c r="B32" s="47">
        <f t="shared" ca="1" si="26"/>
        <v>0</v>
      </c>
      <c r="C32" s="106">
        <f t="shared" ca="1" si="27"/>
        <v>0</v>
      </c>
      <c r="D32" s="50">
        <f t="shared" ca="1" si="28"/>
        <v>0</v>
      </c>
      <c r="E32" s="106">
        <f t="shared" ca="1" si="29"/>
        <v>0</v>
      </c>
      <c r="F32" s="106">
        <f t="shared" ca="1" si="30"/>
        <v>0</v>
      </c>
      <c r="G32" s="106">
        <f t="shared" ca="1" si="31"/>
        <v>0</v>
      </c>
      <c r="H32" s="106">
        <f t="shared" ca="1" si="32"/>
        <v>0</v>
      </c>
      <c r="I32" s="44">
        <f t="shared" ca="1" si="33"/>
        <v>0</v>
      </c>
      <c r="J32" s="3"/>
      <c r="K32" s="47"/>
      <c r="L32" s="53"/>
      <c r="M32" s="44">
        <f t="shared" si="34"/>
        <v>0</v>
      </c>
      <c r="N32" s="3"/>
      <c r="O32" s="47"/>
      <c r="P32" s="53"/>
      <c r="Q32" s="44">
        <f t="shared" si="35"/>
        <v>0</v>
      </c>
      <c r="R32" s="3"/>
      <c r="S32" s="47"/>
      <c r="T32" s="53"/>
      <c r="U32" s="44">
        <f t="shared" si="36"/>
        <v>0</v>
      </c>
      <c r="V32" s="3"/>
      <c r="W32" s="47"/>
      <c r="X32" s="53"/>
      <c r="Y32" s="44">
        <f t="shared" si="37"/>
        <v>0</v>
      </c>
      <c r="Z32" s="3"/>
      <c r="AA32" s="47"/>
      <c r="AB32" s="53"/>
      <c r="AC32" s="44">
        <f t="shared" si="38"/>
        <v>0</v>
      </c>
      <c r="AD32" s="3"/>
    </row>
    <row r="33" spans="1:30" ht="13.5" thickBot="1">
      <c r="A33" s="117">
        <v>30</v>
      </c>
      <c r="B33" s="77" t="s">
        <v>268</v>
      </c>
      <c r="C33" s="3"/>
      <c r="D33" s="3"/>
      <c r="E33" s="3"/>
      <c r="F33" s="3"/>
      <c r="G33" s="3"/>
      <c r="H33" s="3"/>
      <c r="I33" s="3"/>
      <c r="J33" s="3"/>
      <c r="K33" s="77" t="s">
        <v>268</v>
      </c>
      <c r="L33" s="3"/>
      <c r="M33" s="3"/>
      <c r="N33" s="3"/>
      <c r="O33" s="77" t="s">
        <v>268</v>
      </c>
      <c r="P33" s="3"/>
      <c r="Q33" s="3"/>
      <c r="R33" s="3"/>
      <c r="S33" s="77" t="s">
        <v>268</v>
      </c>
      <c r="T33" s="3"/>
      <c r="U33" s="3"/>
      <c r="V33" s="3"/>
      <c r="W33" s="77" t="s">
        <v>268</v>
      </c>
      <c r="X33" s="3"/>
      <c r="Y33" s="3"/>
      <c r="Z33" s="3"/>
      <c r="AA33" s="77" t="s">
        <v>268</v>
      </c>
      <c r="AB33" s="3"/>
      <c r="AC33" s="3"/>
      <c r="AD33" s="3"/>
    </row>
    <row r="34" spans="1:30" ht="14.25" thickTop="1" thickBot="1">
      <c r="A34" s="117">
        <v>31</v>
      </c>
      <c r="B34" s="78"/>
      <c r="C34" s="79"/>
      <c r="D34" s="79" t="s">
        <v>1271</v>
      </c>
      <c r="E34" s="79"/>
      <c r="F34" s="79"/>
      <c r="G34" s="79"/>
      <c r="H34" s="79"/>
      <c r="I34" s="81">
        <f ca="1">SUM(I37:I43)</f>
        <v>0</v>
      </c>
      <c r="J34" s="3"/>
      <c r="K34" s="78"/>
      <c r="L34" s="79" t="s">
        <v>1271</v>
      </c>
      <c r="M34" s="81">
        <f>SUM(M37:M43)</f>
        <v>0</v>
      </c>
      <c r="N34" s="3"/>
      <c r="O34" s="78"/>
      <c r="P34" s="79" t="s">
        <v>1271</v>
      </c>
      <c r="Q34" s="81">
        <f>SUM(Q37:Q43)</f>
        <v>0</v>
      </c>
      <c r="R34" s="3"/>
      <c r="S34" s="78"/>
      <c r="T34" s="79" t="s">
        <v>1271</v>
      </c>
      <c r="U34" s="81">
        <f>SUM(U37:U43)</f>
        <v>0</v>
      </c>
      <c r="V34" s="3"/>
      <c r="W34" s="78"/>
      <c r="X34" s="79" t="s">
        <v>1271</v>
      </c>
      <c r="Y34" s="81">
        <f>SUM(Y37:Y43)</f>
        <v>0</v>
      </c>
      <c r="Z34" s="3"/>
      <c r="AA34" s="78"/>
      <c r="AB34" s="79" t="s">
        <v>1271</v>
      </c>
      <c r="AC34" s="81">
        <f>SUM(AC37:AC43)</f>
        <v>0</v>
      </c>
      <c r="AD34" s="3"/>
    </row>
    <row r="35" spans="1:30" ht="13.5" thickBot="1">
      <c r="A35" s="117">
        <v>32</v>
      </c>
      <c r="B35" s="82" t="s">
        <v>201</v>
      </c>
      <c r="C35" s="83"/>
      <c r="D35" s="83" t="s">
        <v>1270</v>
      </c>
      <c r="E35" s="83"/>
      <c r="F35" s="83"/>
      <c r="G35" s="83"/>
      <c r="H35" s="83"/>
      <c r="I35" s="83"/>
      <c r="J35" s="3"/>
      <c r="K35" s="82" t="s">
        <v>1480</v>
      </c>
      <c r="L35" s="83" t="s">
        <v>1270</v>
      </c>
      <c r="M35" s="83"/>
      <c r="N35" s="3"/>
      <c r="O35" s="82" t="s">
        <v>1480</v>
      </c>
      <c r="P35" s="83" t="s">
        <v>1270</v>
      </c>
      <c r="Q35" s="83"/>
      <c r="R35" s="3"/>
      <c r="S35" s="82" t="s">
        <v>1480</v>
      </c>
      <c r="T35" s="83" t="s">
        <v>1270</v>
      </c>
      <c r="U35" s="83"/>
      <c r="V35" s="3"/>
      <c r="W35" s="82" t="s">
        <v>1480</v>
      </c>
      <c r="X35" s="83" t="s">
        <v>1270</v>
      </c>
      <c r="Y35" s="83"/>
      <c r="Z35" s="3"/>
      <c r="AA35" s="82" t="s">
        <v>1480</v>
      </c>
      <c r="AB35" s="83" t="s">
        <v>1270</v>
      </c>
      <c r="AC35" s="83"/>
      <c r="AD35" s="3"/>
    </row>
    <row r="36" spans="1:30" ht="13.5" thickBot="1">
      <c r="A36" s="117">
        <v>33</v>
      </c>
      <c r="B36" s="16" t="s">
        <v>1269</v>
      </c>
      <c r="C36" s="37"/>
      <c r="D36" s="37" t="str">
        <f>PROPER(units)</f>
        <v>Grams</v>
      </c>
      <c r="E36" s="37"/>
      <c r="F36" s="37"/>
      <c r="G36" s="37"/>
      <c r="H36" s="37"/>
      <c r="I36" s="36" t="s">
        <v>1474</v>
      </c>
      <c r="J36" s="3"/>
      <c r="K36" s="16" t="s">
        <v>1269</v>
      </c>
      <c r="L36" s="37" t="str">
        <f>PROPER(units)</f>
        <v>Grams</v>
      </c>
      <c r="M36" s="36" t="s">
        <v>1474</v>
      </c>
      <c r="N36" s="3"/>
      <c r="O36" s="16" t="s">
        <v>1269</v>
      </c>
      <c r="P36" s="37" t="str">
        <f>PROPER(units)</f>
        <v>Grams</v>
      </c>
      <c r="Q36" s="36" t="s">
        <v>1474</v>
      </c>
      <c r="R36" s="3"/>
      <c r="S36" s="16" t="s">
        <v>1269</v>
      </c>
      <c r="T36" s="37" t="str">
        <f>PROPER(units)</f>
        <v>Grams</v>
      </c>
      <c r="U36" s="36" t="s">
        <v>1474</v>
      </c>
      <c r="V36" s="3"/>
      <c r="W36" s="16" t="s">
        <v>1269</v>
      </c>
      <c r="X36" s="37" t="str">
        <f>PROPER(units)</f>
        <v>Grams</v>
      </c>
      <c r="Y36" s="36" t="s">
        <v>1474</v>
      </c>
      <c r="Z36" s="3"/>
      <c r="AA36" s="16" t="s">
        <v>1269</v>
      </c>
      <c r="AB36" s="37" t="str">
        <f>PROPER(units)</f>
        <v>Grams</v>
      </c>
      <c r="AC36" s="36" t="s">
        <v>1474</v>
      </c>
      <c r="AD36" s="3"/>
    </row>
    <row r="37" spans="1:30">
      <c r="A37" s="117">
        <v>34</v>
      </c>
      <c r="B37" s="45">
        <f t="shared" ref="B37:B43" ca="1" si="39">INDEX(INDIRECT(Body.db),A37,1)</f>
        <v>0</v>
      </c>
      <c r="C37" s="104">
        <f t="shared" ref="C37:C43" ca="1" si="40">IF(B37&gt;0,IF(G37-E37&gt;E37-H37,H37,G37),)</f>
        <v>0</v>
      </c>
      <c r="D37" s="48">
        <f t="shared" ref="D37:D43" ca="1" si="41">INDEX(INDIRECT(VLOOKUP(Body.type,Body_type,5,FALSE)),A37,2)</f>
        <v>0</v>
      </c>
      <c r="E37" s="104">
        <f t="shared" ref="E37:E43" ca="1" si="42">IF(B37&gt;0,D37*$J$4,)</f>
        <v>0</v>
      </c>
      <c r="F37" s="104">
        <f t="shared" ref="F37:F43" ca="1" si="43">IF(B37&gt;0,VLOOKUP(B37,Food_Database,9,FALSE),)</f>
        <v>0</v>
      </c>
      <c r="G37" s="104">
        <f t="shared" ref="G37:G43" ca="1" si="44">IF(B37&gt;0,CEILING(E37,F37),)</f>
        <v>0</v>
      </c>
      <c r="H37" s="104">
        <f t="shared" ref="H37:H43" ca="1" si="45">IF(B37&gt;0,FLOOR(E37,F37),)</f>
        <v>0</v>
      </c>
      <c r="I37" s="41">
        <f t="shared" ref="I37:I43" ca="1" si="46">IF(B37&gt;0,VLOOKUP(B37,Food_Database,2,FALSE)*C37/convert,)</f>
        <v>0</v>
      </c>
      <c r="J37" s="3"/>
      <c r="K37" s="45"/>
      <c r="L37" s="51"/>
      <c r="M37" s="41">
        <f t="shared" ref="M37:M43" si="47">IF(K37&gt;0,VLOOKUP(K37,Food_Database,2,FALSE)*L37/convert,)</f>
        <v>0</v>
      </c>
      <c r="N37" s="3"/>
      <c r="O37" s="45"/>
      <c r="P37" s="51"/>
      <c r="Q37" s="41">
        <f t="shared" ref="Q37:Q43" si="48">IF(O37&gt;0,VLOOKUP(O37,Food_Database,2,FALSE)*P37/convert,)</f>
        <v>0</v>
      </c>
      <c r="R37" s="3"/>
      <c r="S37" s="45"/>
      <c r="T37" s="51"/>
      <c r="U37" s="41">
        <f t="shared" ref="U37:U43" si="49">IF(S37&gt;0,VLOOKUP(S37,Food_Database,2,FALSE)*T37/convert,)</f>
        <v>0</v>
      </c>
      <c r="V37" s="3"/>
      <c r="W37" s="45"/>
      <c r="X37" s="51"/>
      <c r="Y37" s="41">
        <f t="shared" ref="Y37:Y43" si="50">IF(W37&gt;0,VLOOKUP(W37,Food_Database,2,FALSE)*X37/convert,)</f>
        <v>0</v>
      </c>
      <c r="Z37" s="3"/>
      <c r="AA37" s="45"/>
      <c r="AB37" s="51"/>
      <c r="AC37" s="41">
        <f t="shared" ref="AC37:AC43" si="51">IF(AA37&gt;0,VLOOKUP(AA37,Food_Database,2,FALSE)*AB37/convert,)</f>
        <v>0</v>
      </c>
      <c r="AD37" s="3"/>
    </row>
    <row r="38" spans="1:30">
      <c r="A38" s="117">
        <v>35</v>
      </c>
      <c r="B38" s="46">
        <f t="shared" ca="1" si="39"/>
        <v>0</v>
      </c>
      <c r="C38" s="105">
        <f t="shared" ca="1" si="40"/>
        <v>0</v>
      </c>
      <c r="D38" s="49">
        <f t="shared" ca="1" si="41"/>
        <v>0</v>
      </c>
      <c r="E38" s="105">
        <f t="shared" ca="1" si="42"/>
        <v>0</v>
      </c>
      <c r="F38" s="105">
        <f t="shared" ca="1" si="43"/>
        <v>0</v>
      </c>
      <c r="G38" s="105">
        <f t="shared" ca="1" si="44"/>
        <v>0</v>
      </c>
      <c r="H38" s="105">
        <f t="shared" ca="1" si="45"/>
        <v>0</v>
      </c>
      <c r="I38" s="41">
        <f t="shared" ca="1" si="46"/>
        <v>0</v>
      </c>
      <c r="J38" s="3"/>
      <c r="K38" s="46"/>
      <c r="L38" s="52"/>
      <c r="M38" s="41">
        <f t="shared" si="47"/>
        <v>0</v>
      </c>
      <c r="N38" s="3"/>
      <c r="O38" s="46"/>
      <c r="P38" s="52"/>
      <c r="Q38" s="41">
        <f t="shared" si="48"/>
        <v>0</v>
      </c>
      <c r="R38" s="3"/>
      <c r="S38" s="46"/>
      <c r="T38" s="52"/>
      <c r="U38" s="41">
        <f t="shared" si="49"/>
        <v>0</v>
      </c>
      <c r="V38" s="3"/>
      <c r="W38" s="46"/>
      <c r="X38" s="52"/>
      <c r="Y38" s="41">
        <f t="shared" si="50"/>
        <v>0</v>
      </c>
      <c r="Z38" s="3"/>
      <c r="AA38" s="46"/>
      <c r="AB38" s="52"/>
      <c r="AC38" s="41">
        <f t="shared" si="51"/>
        <v>0</v>
      </c>
      <c r="AD38" s="3"/>
    </row>
    <row r="39" spans="1:30">
      <c r="A39" s="117">
        <v>36</v>
      </c>
      <c r="B39" s="46">
        <f t="shared" ca="1" si="39"/>
        <v>0</v>
      </c>
      <c r="C39" s="105">
        <f t="shared" ca="1" si="40"/>
        <v>0</v>
      </c>
      <c r="D39" s="49">
        <f t="shared" ca="1" si="41"/>
        <v>0</v>
      </c>
      <c r="E39" s="105">
        <f t="shared" ca="1" si="42"/>
        <v>0</v>
      </c>
      <c r="F39" s="105">
        <f t="shared" ca="1" si="43"/>
        <v>0</v>
      </c>
      <c r="G39" s="105">
        <f t="shared" ca="1" si="44"/>
        <v>0</v>
      </c>
      <c r="H39" s="105">
        <f t="shared" ca="1" si="45"/>
        <v>0</v>
      </c>
      <c r="I39" s="41">
        <f t="shared" ca="1" si="46"/>
        <v>0</v>
      </c>
      <c r="J39" s="3"/>
      <c r="K39" s="46"/>
      <c r="L39" s="52"/>
      <c r="M39" s="41">
        <f t="shared" si="47"/>
        <v>0</v>
      </c>
      <c r="N39" s="3"/>
      <c r="O39" s="46"/>
      <c r="P39" s="52"/>
      <c r="Q39" s="41">
        <f t="shared" si="48"/>
        <v>0</v>
      </c>
      <c r="R39" s="3"/>
      <c r="S39" s="46"/>
      <c r="T39" s="52"/>
      <c r="U39" s="41">
        <f t="shared" si="49"/>
        <v>0</v>
      </c>
      <c r="V39" s="3"/>
      <c r="W39" s="46"/>
      <c r="X39" s="52"/>
      <c r="Y39" s="41">
        <f t="shared" si="50"/>
        <v>0</v>
      </c>
      <c r="Z39" s="3"/>
      <c r="AA39" s="46"/>
      <c r="AB39" s="52"/>
      <c r="AC39" s="41">
        <f t="shared" si="51"/>
        <v>0</v>
      </c>
      <c r="AD39" s="3"/>
    </row>
    <row r="40" spans="1:30">
      <c r="A40" s="117">
        <v>37</v>
      </c>
      <c r="B40" s="46">
        <f t="shared" ca="1" si="39"/>
        <v>0</v>
      </c>
      <c r="C40" s="105">
        <f t="shared" ca="1" si="40"/>
        <v>0</v>
      </c>
      <c r="D40" s="49">
        <f t="shared" ca="1" si="41"/>
        <v>0</v>
      </c>
      <c r="E40" s="105">
        <f t="shared" ca="1" si="42"/>
        <v>0</v>
      </c>
      <c r="F40" s="105">
        <f t="shared" ca="1" si="43"/>
        <v>0</v>
      </c>
      <c r="G40" s="105">
        <f t="shared" ca="1" si="44"/>
        <v>0</v>
      </c>
      <c r="H40" s="105">
        <f t="shared" ca="1" si="45"/>
        <v>0</v>
      </c>
      <c r="I40" s="41">
        <f t="shared" ca="1" si="46"/>
        <v>0</v>
      </c>
      <c r="J40" s="3"/>
      <c r="K40" s="46"/>
      <c r="L40" s="52"/>
      <c r="M40" s="41">
        <f t="shared" si="47"/>
        <v>0</v>
      </c>
      <c r="N40" s="3"/>
      <c r="O40" s="46"/>
      <c r="P40" s="52"/>
      <c r="Q40" s="41">
        <f t="shared" si="48"/>
        <v>0</v>
      </c>
      <c r="R40" s="3"/>
      <c r="S40" s="46"/>
      <c r="T40" s="52"/>
      <c r="U40" s="41">
        <f t="shared" si="49"/>
        <v>0</v>
      </c>
      <c r="V40" s="3"/>
      <c r="W40" s="46"/>
      <c r="X40" s="52"/>
      <c r="Y40" s="41">
        <f t="shared" si="50"/>
        <v>0</v>
      </c>
      <c r="Z40" s="3"/>
      <c r="AA40" s="46"/>
      <c r="AB40" s="52"/>
      <c r="AC40" s="41">
        <f t="shared" si="51"/>
        <v>0</v>
      </c>
      <c r="AD40" s="3"/>
    </row>
    <row r="41" spans="1:30">
      <c r="A41" s="117">
        <v>38</v>
      </c>
      <c r="B41" s="46">
        <f t="shared" ca="1" si="39"/>
        <v>0</v>
      </c>
      <c r="C41" s="105">
        <f t="shared" ca="1" si="40"/>
        <v>0</v>
      </c>
      <c r="D41" s="49">
        <f t="shared" ca="1" si="41"/>
        <v>0</v>
      </c>
      <c r="E41" s="105">
        <f t="shared" ca="1" si="42"/>
        <v>0</v>
      </c>
      <c r="F41" s="105">
        <f t="shared" ca="1" si="43"/>
        <v>0</v>
      </c>
      <c r="G41" s="105">
        <f t="shared" ca="1" si="44"/>
        <v>0</v>
      </c>
      <c r="H41" s="105">
        <f t="shared" ca="1" si="45"/>
        <v>0</v>
      </c>
      <c r="I41" s="41">
        <f t="shared" ca="1" si="46"/>
        <v>0</v>
      </c>
      <c r="J41" s="3"/>
      <c r="K41" s="46"/>
      <c r="L41" s="52"/>
      <c r="M41" s="41">
        <f t="shared" si="47"/>
        <v>0</v>
      </c>
      <c r="N41" s="3"/>
      <c r="O41" s="46"/>
      <c r="P41" s="52"/>
      <c r="Q41" s="41">
        <f t="shared" si="48"/>
        <v>0</v>
      </c>
      <c r="R41" s="3"/>
      <c r="S41" s="46"/>
      <c r="T41" s="52"/>
      <c r="U41" s="41">
        <f t="shared" si="49"/>
        <v>0</v>
      </c>
      <c r="V41" s="3"/>
      <c r="W41" s="46"/>
      <c r="X41" s="52"/>
      <c r="Y41" s="41">
        <f t="shared" si="50"/>
        <v>0</v>
      </c>
      <c r="Z41" s="3"/>
      <c r="AA41" s="46"/>
      <c r="AB41" s="52"/>
      <c r="AC41" s="41">
        <f t="shared" si="51"/>
        <v>0</v>
      </c>
      <c r="AD41" s="3"/>
    </row>
    <row r="42" spans="1:30">
      <c r="A42" s="117">
        <v>39</v>
      </c>
      <c r="B42" s="46">
        <f t="shared" ca="1" si="39"/>
        <v>0</v>
      </c>
      <c r="C42" s="105">
        <f t="shared" ca="1" si="40"/>
        <v>0</v>
      </c>
      <c r="D42" s="49">
        <f t="shared" ca="1" si="41"/>
        <v>0</v>
      </c>
      <c r="E42" s="105">
        <f t="shared" ca="1" si="42"/>
        <v>0</v>
      </c>
      <c r="F42" s="105">
        <f t="shared" ca="1" si="43"/>
        <v>0</v>
      </c>
      <c r="G42" s="105">
        <f t="shared" ca="1" si="44"/>
        <v>0</v>
      </c>
      <c r="H42" s="105">
        <f t="shared" ca="1" si="45"/>
        <v>0</v>
      </c>
      <c r="I42" s="41">
        <f t="shared" ca="1" si="46"/>
        <v>0</v>
      </c>
      <c r="J42" s="3"/>
      <c r="K42" s="46"/>
      <c r="L42" s="52"/>
      <c r="M42" s="41">
        <f t="shared" si="47"/>
        <v>0</v>
      </c>
      <c r="N42" s="3"/>
      <c r="O42" s="46"/>
      <c r="P42" s="52"/>
      <c r="Q42" s="41">
        <f t="shared" si="48"/>
        <v>0</v>
      </c>
      <c r="R42" s="3"/>
      <c r="S42" s="46"/>
      <c r="T42" s="52"/>
      <c r="U42" s="41">
        <f t="shared" si="49"/>
        <v>0</v>
      </c>
      <c r="V42" s="3"/>
      <c r="W42" s="46"/>
      <c r="X42" s="52"/>
      <c r="Y42" s="41">
        <f t="shared" si="50"/>
        <v>0</v>
      </c>
      <c r="Z42" s="3"/>
      <c r="AA42" s="46"/>
      <c r="AB42" s="52"/>
      <c r="AC42" s="41">
        <f t="shared" si="51"/>
        <v>0</v>
      </c>
      <c r="AD42" s="3"/>
    </row>
    <row r="43" spans="1:30" ht="13.5" thickBot="1">
      <c r="A43" s="117">
        <v>40</v>
      </c>
      <c r="B43" s="47">
        <f t="shared" ca="1" si="39"/>
        <v>0</v>
      </c>
      <c r="C43" s="106">
        <f t="shared" ca="1" si="40"/>
        <v>0</v>
      </c>
      <c r="D43" s="50">
        <f t="shared" ca="1" si="41"/>
        <v>0</v>
      </c>
      <c r="E43" s="106">
        <f t="shared" ca="1" si="42"/>
        <v>0</v>
      </c>
      <c r="F43" s="106">
        <f t="shared" ca="1" si="43"/>
        <v>0</v>
      </c>
      <c r="G43" s="106">
        <f t="shared" ca="1" si="44"/>
        <v>0</v>
      </c>
      <c r="H43" s="106">
        <f t="shared" ca="1" si="45"/>
        <v>0</v>
      </c>
      <c r="I43" s="44">
        <f t="shared" ca="1" si="46"/>
        <v>0</v>
      </c>
      <c r="J43" s="3"/>
      <c r="K43" s="47"/>
      <c r="L43" s="53"/>
      <c r="M43" s="44">
        <f t="shared" si="47"/>
        <v>0</v>
      </c>
      <c r="N43" s="3"/>
      <c r="O43" s="47"/>
      <c r="P43" s="53"/>
      <c r="Q43" s="44">
        <f t="shared" si="48"/>
        <v>0</v>
      </c>
      <c r="R43" s="3"/>
      <c r="S43" s="47"/>
      <c r="T43" s="53"/>
      <c r="U43" s="44">
        <f t="shared" si="49"/>
        <v>0</v>
      </c>
      <c r="V43" s="3"/>
      <c r="W43" s="47"/>
      <c r="X43" s="53"/>
      <c r="Y43" s="44">
        <f t="shared" si="50"/>
        <v>0</v>
      </c>
      <c r="Z43" s="3"/>
      <c r="AA43" s="47"/>
      <c r="AB43" s="53"/>
      <c r="AC43" s="44">
        <f t="shared" si="51"/>
        <v>0</v>
      </c>
      <c r="AD43" s="3"/>
    </row>
    <row r="44" spans="1:30" ht="13.5" thickBot="1">
      <c r="A44" s="117">
        <v>41</v>
      </c>
      <c r="B44" s="77" t="s">
        <v>268</v>
      </c>
      <c r="C44" s="3"/>
      <c r="D44" s="3"/>
      <c r="E44" s="3"/>
      <c r="F44" s="3"/>
      <c r="G44" s="3"/>
      <c r="H44" s="3"/>
      <c r="I44" s="3"/>
      <c r="J44" s="3"/>
      <c r="K44" s="77" t="s">
        <v>268</v>
      </c>
      <c r="L44" s="3"/>
      <c r="M44" s="3"/>
      <c r="N44" s="3"/>
      <c r="O44" s="77" t="s">
        <v>268</v>
      </c>
      <c r="P44" s="3"/>
      <c r="Q44" s="3"/>
      <c r="R44" s="3"/>
      <c r="S44" s="77" t="s">
        <v>268</v>
      </c>
      <c r="T44" s="3"/>
      <c r="U44" s="3"/>
      <c r="V44" s="3"/>
      <c r="W44" s="77" t="s">
        <v>268</v>
      </c>
      <c r="X44" s="3"/>
      <c r="Y44" s="3"/>
      <c r="Z44" s="3"/>
      <c r="AA44" s="77" t="s">
        <v>268</v>
      </c>
      <c r="AB44" s="3"/>
      <c r="AC44" s="3"/>
      <c r="AD44" s="3"/>
    </row>
    <row r="45" spans="1:30" ht="14.25" thickTop="1" thickBot="1">
      <c r="A45" s="117">
        <v>42</v>
      </c>
      <c r="B45" s="114"/>
      <c r="C45" s="79"/>
      <c r="D45" s="79" t="s">
        <v>1271</v>
      </c>
      <c r="E45" s="79"/>
      <c r="F45" s="79"/>
      <c r="G45" s="79"/>
      <c r="H45" s="79"/>
      <c r="I45" s="81">
        <f ca="1">SUM(I48:I54)</f>
        <v>0</v>
      </c>
      <c r="J45" s="3"/>
      <c r="K45" s="114"/>
      <c r="L45" s="79" t="s">
        <v>1271</v>
      </c>
      <c r="M45" s="81">
        <f>SUM(M48:M54)</f>
        <v>0</v>
      </c>
      <c r="N45" s="3"/>
      <c r="O45" s="114"/>
      <c r="P45" s="79" t="s">
        <v>1271</v>
      </c>
      <c r="Q45" s="81">
        <f>SUM(Q48:Q54)</f>
        <v>0</v>
      </c>
      <c r="R45" s="3"/>
      <c r="S45" s="114"/>
      <c r="T45" s="79" t="s">
        <v>1271</v>
      </c>
      <c r="U45" s="81">
        <f>SUM(U48:U54)</f>
        <v>0</v>
      </c>
      <c r="V45" s="3"/>
      <c r="W45" s="114"/>
      <c r="X45" s="79" t="s">
        <v>1271</v>
      </c>
      <c r="Y45" s="81">
        <f>SUM(Y48:Y54)</f>
        <v>0</v>
      </c>
      <c r="Z45" s="3"/>
      <c r="AA45" s="114"/>
      <c r="AB45" s="79" t="s">
        <v>1271</v>
      </c>
      <c r="AC45" s="81">
        <f>SUM(AC48:AC54)</f>
        <v>0</v>
      </c>
      <c r="AD45" s="3"/>
    </row>
    <row r="46" spans="1:30" ht="13.5" thickBot="1">
      <c r="A46" s="117">
        <v>43</v>
      </c>
      <c r="B46" s="82" t="s">
        <v>1484</v>
      </c>
      <c r="C46" s="83"/>
      <c r="D46" s="83" t="s">
        <v>1270</v>
      </c>
      <c r="E46" s="83"/>
      <c r="F46" s="83"/>
      <c r="G46" s="83"/>
      <c r="H46" s="83"/>
      <c r="I46" s="83"/>
      <c r="J46" s="3"/>
      <c r="K46" s="82" t="s">
        <v>1484</v>
      </c>
      <c r="L46" s="83" t="s">
        <v>1270</v>
      </c>
      <c r="M46" s="83"/>
      <c r="N46" s="3"/>
      <c r="O46" s="82" t="s">
        <v>1484</v>
      </c>
      <c r="P46" s="83" t="s">
        <v>1270</v>
      </c>
      <c r="Q46" s="83"/>
      <c r="R46" s="3"/>
      <c r="S46" s="82" t="s">
        <v>1484</v>
      </c>
      <c r="T46" s="83" t="s">
        <v>1270</v>
      </c>
      <c r="U46" s="83"/>
      <c r="V46" s="3"/>
      <c r="W46" s="82" t="s">
        <v>1484</v>
      </c>
      <c r="X46" s="83" t="s">
        <v>1270</v>
      </c>
      <c r="Y46" s="83"/>
      <c r="Z46" s="3"/>
      <c r="AA46" s="82" t="s">
        <v>1484</v>
      </c>
      <c r="AB46" s="83" t="s">
        <v>1270</v>
      </c>
      <c r="AC46" s="83"/>
      <c r="AD46" s="3"/>
    </row>
    <row r="47" spans="1:30" ht="13.5" thickBot="1">
      <c r="A47" s="117">
        <v>44</v>
      </c>
      <c r="B47" s="16" t="s">
        <v>1269</v>
      </c>
      <c r="C47" s="37"/>
      <c r="D47" s="37" t="str">
        <f>PROPER(units)</f>
        <v>Grams</v>
      </c>
      <c r="E47" s="37"/>
      <c r="F47" s="37"/>
      <c r="G47" s="37"/>
      <c r="H47" s="37"/>
      <c r="I47" s="36" t="s">
        <v>1474</v>
      </c>
      <c r="J47" s="3"/>
      <c r="K47" s="16" t="s">
        <v>1269</v>
      </c>
      <c r="L47" s="37" t="str">
        <f>PROPER(units)</f>
        <v>Grams</v>
      </c>
      <c r="M47" s="36" t="s">
        <v>1474</v>
      </c>
      <c r="N47" s="3"/>
      <c r="O47" s="16" t="s">
        <v>1269</v>
      </c>
      <c r="P47" s="37" t="str">
        <f>PROPER(units)</f>
        <v>Grams</v>
      </c>
      <c r="Q47" s="36" t="s">
        <v>1474</v>
      </c>
      <c r="R47" s="3"/>
      <c r="S47" s="16" t="s">
        <v>1269</v>
      </c>
      <c r="T47" s="37" t="str">
        <f>PROPER(units)</f>
        <v>Grams</v>
      </c>
      <c r="U47" s="36" t="s">
        <v>1474</v>
      </c>
      <c r="V47" s="3"/>
      <c r="W47" s="16" t="s">
        <v>1269</v>
      </c>
      <c r="X47" s="37" t="str">
        <f>PROPER(units)</f>
        <v>Grams</v>
      </c>
      <c r="Y47" s="36" t="s">
        <v>1474</v>
      </c>
      <c r="Z47" s="3"/>
      <c r="AA47" s="16" t="s">
        <v>1269</v>
      </c>
      <c r="AB47" s="37" t="str">
        <f>PROPER(units)</f>
        <v>Grams</v>
      </c>
      <c r="AC47" s="36" t="s">
        <v>1474</v>
      </c>
      <c r="AD47" s="3"/>
    </row>
    <row r="48" spans="1:30">
      <c r="A48" s="117">
        <v>45</v>
      </c>
      <c r="B48" s="45">
        <f t="shared" ref="B48:B54" ca="1" si="52">INDEX(INDIRECT(Body.db),A48,1)</f>
        <v>0</v>
      </c>
      <c r="C48" s="104">
        <f t="shared" ref="C48:C54" ca="1" si="53">IF(B48&gt;0,IF(G48-E48&gt;E48-H48,H48,G48),)</f>
        <v>0</v>
      </c>
      <c r="D48" s="48">
        <f t="shared" ref="D48:D54" ca="1" si="54">INDEX(INDIRECT(VLOOKUP(Body.type,Body_type,5,FALSE)),A48,2)</f>
        <v>0</v>
      </c>
      <c r="E48" s="104">
        <f t="shared" ref="E48:E54" ca="1" si="55">IF(B48&gt;0,D48*$J$4,)</f>
        <v>0</v>
      </c>
      <c r="F48" s="104">
        <f t="shared" ref="F48:F54" ca="1" si="56">IF(B48&gt;0,VLOOKUP(B48,Food_Database,9,FALSE),)</f>
        <v>0</v>
      </c>
      <c r="G48" s="104">
        <f t="shared" ref="G48:G54" ca="1" si="57">IF(B48&gt;0,CEILING(E48,F48),)</f>
        <v>0</v>
      </c>
      <c r="H48" s="104">
        <f t="shared" ref="H48:H54" ca="1" si="58">IF(B48&gt;0,FLOOR(E48,F48),)</f>
        <v>0</v>
      </c>
      <c r="I48" s="41">
        <f t="shared" ref="I48:I54" ca="1" si="59">IF(B48&gt;0,VLOOKUP(B48,Food_Database,2,FALSE)*C48/convert,)</f>
        <v>0</v>
      </c>
      <c r="J48" s="3"/>
      <c r="K48" s="45"/>
      <c r="L48" s="51"/>
      <c r="M48" s="41">
        <f t="shared" ref="M48:M54" si="60">IF(K48&gt;0,VLOOKUP(K48,Food_Database,2,FALSE)*L48/convert,)</f>
        <v>0</v>
      </c>
      <c r="N48" s="3"/>
      <c r="O48" s="45"/>
      <c r="P48" s="51"/>
      <c r="Q48" s="41">
        <f t="shared" ref="Q48:Q54" si="61">IF(O48&gt;0,VLOOKUP(O48,Food_Database,2,FALSE)*P48/convert,)</f>
        <v>0</v>
      </c>
      <c r="R48" s="3"/>
      <c r="S48" s="45"/>
      <c r="T48" s="51"/>
      <c r="U48" s="41">
        <f t="shared" ref="U48:U54" si="62">IF(S48&gt;0,VLOOKUP(S48,Food_Database,2,FALSE)*T48/convert,)</f>
        <v>0</v>
      </c>
      <c r="V48" s="3"/>
      <c r="W48" s="45"/>
      <c r="X48" s="51"/>
      <c r="Y48" s="41">
        <f t="shared" ref="Y48:Y54" si="63">IF(W48&gt;0,VLOOKUP(W48,Food_Database,2,FALSE)*X48/convert,)</f>
        <v>0</v>
      </c>
      <c r="Z48" s="3"/>
      <c r="AA48" s="45"/>
      <c r="AB48" s="51"/>
      <c r="AC48" s="41">
        <f t="shared" ref="AC48:AC54" si="64">IF(AA48&gt;0,VLOOKUP(AA48,Food_Database,2,FALSE)*AB48/convert,)</f>
        <v>0</v>
      </c>
      <c r="AD48" s="3"/>
    </row>
    <row r="49" spans="1:30">
      <c r="A49" s="117">
        <v>46</v>
      </c>
      <c r="B49" s="46">
        <f t="shared" ca="1" si="52"/>
        <v>0</v>
      </c>
      <c r="C49" s="105">
        <f t="shared" ca="1" si="53"/>
        <v>0</v>
      </c>
      <c r="D49" s="49">
        <f t="shared" ca="1" si="54"/>
        <v>0</v>
      </c>
      <c r="E49" s="105">
        <f t="shared" ca="1" si="55"/>
        <v>0</v>
      </c>
      <c r="F49" s="105">
        <f t="shared" ca="1" si="56"/>
        <v>0</v>
      </c>
      <c r="G49" s="105">
        <f t="shared" ca="1" si="57"/>
        <v>0</v>
      </c>
      <c r="H49" s="105">
        <f t="shared" ca="1" si="58"/>
        <v>0</v>
      </c>
      <c r="I49" s="41">
        <f t="shared" ca="1" si="59"/>
        <v>0</v>
      </c>
      <c r="J49" s="3"/>
      <c r="K49" s="46"/>
      <c r="L49" s="52"/>
      <c r="M49" s="41">
        <f t="shared" si="60"/>
        <v>0</v>
      </c>
      <c r="N49" s="3"/>
      <c r="O49" s="46"/>
      <c r="P49" s="52"/>
      <c r="Q49" s="41">
        <f t="shared" si="61"/>
        <v>0</v>
      </c>
      <c r="R49" s="3"/>
      <c r="S49" s="46"/>
      <c r="T49" s="52"/>
      <c r="U49" s="41">
        <f t="shared" si="62"/>
        <v>0</v>
      </c>
      <c r="V49" s="3"/>
      <c r="W49" s="46"/>
      <c r="X49" s="52"/>
      <c r="Y49" s="41">
        <f t="shared" si="63"/>
        <v>0</v>
      </c>
      <c r="Z49" s="3"/>
      <c r="AA49" s="46"/>
      <c r="AB49" s="52"/>
      <c r="AC49" s="41">
        <f t="shared" si="64"/>
        <v>0</v>
      </c>
      <c r="AD49" s="3"/>
    </row>
    <row r="50" spans="1:30">
      <c r="A50" s="117">
        <v>47</v>
      </c>
      <c r="B50" s="46">
        <f t="shared" ca="1" si="52"/>
        <v>0</v>
      </c>
      <c r="C50" s="105">
        <f t="shared" ca="1" si="53"/>
        <v>0</v>
      </c>
      <c r="D50" s="49">
        <f t="shared" ca="1" si="54"/>
        <v>0</v>
      </c>
      <c r="E50" s="105">
        <f t="shared" ca="1" si="55"/>
        <v>0</v>
      </c>
      <c r="F50" s="105">
        <f t="shared" ca="1" si="56"/>
        <v>0</v>
      </c>
      <c r="G50" s="105">
        <f t="shared" ca="1" si="57"/>
        <v>0</v>
      </c>
      <c r="H50" s="105">
        <f t="shared" ca="1" si="58"/>
        <v>0</v>
      </c>
      <c r="I50" s="41">
        <f t="shared" ca="1" si="59"/>
        <v>0</v>
      </c>
      <c r="J50" s="3"/>
      <c r="K50" s="46"/>
      <c r="L50" s="52"/>
      <c r="M50" s="41">
        <f t="shared" si="60"/>
        <v>0</v>
      </c>
      <c r="N50" s="3"/>
      <c r="O50" s="46"/>
      <c r="P50" s="52"/>
      <c r="Q50" s="41">
        <f t="shared" si="61"/>
        <v>0</v>
      </c>
      <c r="R50" s="3"/>
      <c r="S50" s="46"/>
      <c r="T50" s="52"/>
      <c r="U50" s="41">
        <f t="shared" si="62"/>
        <v>0</v>
      </c>
      <c r="V50" s="3"/>
      <c r="W50" s="46"/>
      <c r="X50" s="52"/>
      <c r="Y50" s="41">
        <f t="shared" si="63"/>
        <v>0</v>
      </c>
      <c r="Z50" s="3"/>
      <c r="AA50" s="46"/>
      <c r="AB50" s="52"/>
      <c r="AC50" s="41">
        <f t="shared" si="64"/>
        <v>0</v>
      </c>
      <c r="AD50" s="3"/>
    </row>
    <row r="51" spans="1:30">
      <c r="A51" s="117">
        <v>48</v>
      </c>
      <c r="B51" s="46">
        <f t="shared" ca="1" si="52"/>
        <v>0</v>
      </c>
      <c r="C51" s="105">
        <f t="shared" ca="1" si="53"/>
        <v>0</v>
      </c>
      <c r="D51" s="49">
        <f t="shared" ca="1" si="54"/>
        <v>0</v>
      </c>
      <c r="E51" s="105">
        <f t="shared" ca="1" si="55"/>
        <v>0</v>
      </c>
      <c r="F51" s="105">
        <f t="shared" ca="1" si="56"/>
        <v>0</v>
      </c>
      <c r="G51" s="105">
        <f t="shared" ca="1" si="57"/>
        <v>0</v>
      </c>
      <c r="H51" s="105">
        <f t="shared" ca="1" si="58"/>
        <v>0</v>
      </c>
      <c r="I51" s="41">
        <f t="shared" ca="1" si="59"/>
        <v>0</v>
      </c>
      <c r="J51" s="3"/>
      <c r="K51" s="46"/>
      <c r="L51" s="52"/>
      <c r="M51" s="41">
        <f t="shared" si="60"/>
        <v>0</v>
      </c>
      <c r="N51" s="3"/>
      <c r="O51" s="46"/>
      <c r="P51" s="52"/>
      <c r="Q51" s="41">
        <f t="shared" si="61"/>
        <v>0</v>
      </c>
      <c r="R51" s="3"/>
      <c r="S51" s="46"/>
      <c r="T51" s="52"/>
      <c r="U51" s="41">
        <f t="shared" si="62"/>
        <v>0</v>
      </c>
      <c r="V51" s="3"/>
      <c r="W51" s="46"/>
      <c r="X51" s="52"/>
      <c r="Y51" s="41">
        <f t="shared" si="63"/>
        <v>0</v>
      </c>
      <c r="Z51" s="3"/>
      <c r="AA51" s="46"/>
      <c r="AB51" s="52"/>
      <c r="AC51" s="41">
        <f t="shared" si="64"/>
        <v>0</v>
      </c>
      <c r="AD51" s="3"/>
    </row>
    <row r="52" spans="1:30">
      <c r="A52" s="117">
        <v>49</v>
      </c>
      <c r="B52" s="46">
        <f t="shared" ca="1" si="52"/>
        <v>0</v>
      </c>
      <c r="C52" s="105">
        <f t="shared" ca="1" si="53"/>
        <v>0</v>
      </c>
      <c r="D52" s="49">
        <f t="shared" ca="1" si="54"/>
        <v>0</v>
      </c>
      <c r="E52" s="105">
        <f t="shared" ca="1" si="55"/>
        <v>0</v>
      </c>
      <c r="F52" s="105">
        <f t="shared" ca="1" si="56"/>
        <v>0</v>
      </c>
      <c r="G52" s="105">
        <f t="shared" ca="1" si="57"/>
        <v>0</v>
      </c>
      <c r="H52" s="105">
        <f t="shared" ca="1" si="58"/>
        <v>0</v>
      </c>
      <c r="I52" s="41">
        <f t="shared" ca="1" si="59"/>
        <v>0</v>
      </c>
      <c r="J52" s="3"/>
      <c r="K52" s="46"/>
      <c r="L52" s="52"/>
      <c r="M52" s="41">
        <f t="shared" si="60"/>
        <v>0</v>
      </c>
      <c r="N52" s="3"/>
      <c r="O52" s="46"/>
      <c r="P52" s="52"/>
      <c r="Q52" s="41">
        <f t="shared" si="61"/>
        <v>0</v>
      </c>
      <c r="R52" s="3"/>
      <c r="S52" s="46"/>
      <c r="T52" s="52"/>
      <c r="U52" s="41">
        <f t="shared" si="62"/>
        <v>0</v>
      </c>
      <c r="V52" s="3"/>
      <c r="W52" s="46"/>
      <c r="X52" s="52"/>
      <c r="Y52" s="41">
        <f t="shared" si="63"/>
        <v>0</v>
      </c>
      <c r="Z52" s="3"/>
      <c r="AA52" s="46"/>
      <c r="AB52" s="52"/>
      <c r="AC52" s="41">
        <f t="shared" si="64"/>
        <v>0</v>
      </c>
      <c r="AD52" s="3"/>
    </row>
    <row r="53" spans="1:30">
      <c r="A53" s="117">
        <v>50</v>
      </c>
      <c r="B53" s="46">
        <f t="shared" ca="1" si="52"/>
        <v>0</v>
      </c>
      <c r="C53" s="105">
        <f t="shared" ca="1" si="53"/>
        <v>0</v>
      </c>
      <c r="D53" s="49">
        <f t="shared" ca="1" si="54"/>
        <v>0</v>
      </c>
      <c r="E53" s="105">
        <f t="shared" ca="1" si="55"/>
        <v>0</v>
      </c>
      <c r="F53" s="105">
        <f t="shared" ca="1" si="56"/>
        <v>0</v>
      </c>
      <c r="G53" s="105">
        <f t="shared" ca="1" si="57"/>
        <v>0</v>
      </c>
      <c r="H53" s="105">
        <f t="shared" ca="1" si="58"/>
        <v>0</v>
      </c>
      <c r="I53" s="41">
        <f t="shared" ca="1" si="59"/>
        <v>0</v>
      </c>
      <c r="J53" s="3"/>
      <c r="K53" s="46"/>
      <c r="L53" s="52"/>
      <c r="M53" s="41">
        <f t="shared" si="60"/>
        <v>0</v>
      </c>
      <c r="N53" s="3"/>
      <c r="O53" s="46"/>
      <c r="P53" s="52"/>
      <c r="Q53" s="41">
        <f t="shared" si="61"/>
        <v>0</v>
      </c>
      <c r="R53" s="3"/>
      <c r="S53" s="46"/>
      <c r="T53" s="52"/>
      <c r="U53" s="41">
        <f t="shared" si="62"/>
        <v>0</v>
      </c>
      <c r="V53" s="3"/>
      <c r="W53" s="46"/>
      <c r="X53" s="52"/>
      <c r="Y53" s="41">
        <f t="shared" si="63"/>
        <v>0</v>
      </c>
      <c r="Z53" s="3"/>
      <c r="AA53" s="46"/>
      <c r="AB53" s="52"/>
      <c r="AC53" s="41">
        <f t="shared" si="64"/>
        <v>0</v>
      </c>
      <c r="AD53" s="3"/>
    </row>
    <row r="54" spans="1:30" ht="13.5" thickBot="1">
      <c r="A54" s="117">
        <v>51</v>
      </c>
      <c r="B54" s="47">
        <f t="shared" ca="1" si="52"/>
        <v>0</v>
      </c>
      <c r="C54" s="106">
        <f t="shared" ca="1" si="53"/>
        <v>0</v>
      </c>
      <c r="D54" s="50">
        <f t="shared" ca="1" si="54"/>
        <v>0</v>
      </c>
      <c r="E54" s="106">
        <f t="shared" ca="1" si="55"/>
        <v>0</v>
      </c>
      <c r="F54" s="106">
        <f t="shared" ca="1" si="56"/>
        <v>0</v>
      </c>
      <c r="G54" s="106">
        <f t="shared" ca="1" si="57"/>
        <v>0</v>
      </c>
      <c r="H54" s="106">
        <f t="shared" ca="1" si="58"/>
        <v>0</v>
      </c>
      <c r="I54" s="44">
        <f t="shared" ca="1" si="59"/>
        <v>0</v>
      </c>
      <c r="J54" s="3"/>
      <c r="K54" s="47"/>
      <c r="L54" s="53"/>
      <c r="M54" s="44">
        <f t="shared" si="60"/>
        <v>0</v>
      </c>
      <c r="N54" s="3"/>
      <c r="O54" s="47"/>
      <c r="P54" s="53"/>
      <c r="Q54" s="44">
        <f t="shared" si="61"/>
        <v>0</v>
      </c>
      <c r="R54" s="3"/>
      <c r="S54" s="47"/>
      <c r="T54" s="53"/>
      <c r="U54" s="44">
        <f t="shared" si="62"/>
        <v>0</v>
      </c>
      <c r="V54" s="3"/>
      <c r="W54" s="47"/>
      <c r="X54" s="53"/>
      <c r="Y54" s="44">
        <f t="shared" si="63"/>
        <v>0</v>
      </c>
      <c r="Z54" s="3"/>
      <c r="AA54" s="47"/>
      <c r="AB54" s="53"/>
      <c r="AC54" s="44">
        <f t="shared" si="64"/>
        <v>0</v>
      </c>
      <c r="AD54" s="3"/>
    </row>
    <row r="55" spans="1:30" ht="13.5" thickBot="1">
      <c r="A55" s="117">
        <v>52</v>
      </c>
      <c r="B55" s="77" t="s">
        <v>268</v>
      </c>
      <c r="C55" s="3"/>
      <c r="D55" s="3"/>
      <c r="E55" s="3"/>
      <c r="F55" s="3"/>
      <c r="G55" s="3"/>
      <c r="H55" s="3"/>
      <c r="I55" s="3"/>
      <c r="J55" s="3"/>
      <c r="K55" s="77" t="s">
        <v>268</v>
      </c>
      <c r="L55" s="3"/>
      <c r="M55" s="3"/>
      <c r="N55" s="3"/>
      <c r="O55" s="77" t="s">
        <v>268</v>
      </c>
      <c r="P55" s="3"/>
      <c r="Q55" s="3"/>
      <c r="R55" s="3"/>
      <c r="S55" s="77" t="s">
        <v>268</v>
      </c>
      <c r="T55" s="3"/>
      <c r="U55" s="3"/>
      <c r="V55" s="3"/>
      <c r="W55" s="77" t="s">
        <v>268</v>
      </c>
      <c r="X55" s="3"/>
      <c r="Y55" s="3"/>
      <c r="Z55" s="3"/>
      <c r="AA55" s="77" t="s">
        <v>268</v>
      </c>
      <c r="AB55" s="3"/>
      <c r="AC55" s="3"/>
      <c r="AD55" s="3"/>
    </row>
    <row r="56" spans="1:30" ht="14.25" thickTop="1" thickBot="1">
      <c r="A56" s="117">
        <v>53</v>
      </c>
      <c r="B56" s="78"/>
      <c r="C56" s="79"/>
      <c r="D56" s="79" t="s">
        <v>1271</v>
      </c>
      <c r="E56" s="79"/>
      <c r="F56" s="79"/>
      <c r="G56" s="79"/>
      <c r="H56" s="79"/>
      <c r="I56" s="81">
        <f ca="1">SUM(I59:I65)</f>
        <v>0</v>
      </c>
      <c r="J56" s="3"/>
      <c r="K56" s="78"/>
      <c r="L56" s="79" t="s">
        <v>1271</v>
      </c>
      <c r="M56" s="81">
        <f>SUM(M59:M65)</f>
        <v>0</v>
      </c>
      <c r="N56" s="3"/>
      <c r="O56" s="78"/>
      <c r="P56" s="79" t="s">
        <v>1271</v>
      </c>
      <c r="Q56" s="81">
        <f>SUM(Q59:Q65)</f>
        <v>0</v>
      </c>
      <c r="R56" s="3"/>
      <c r="S56" s="78"/>
      <c r="T56" s="79" t="s">
        <v>1271</v>
      </c>
      <c r="U56" s="81">
        <f>SUM(U59:U65)</f>
        <v>0</v>
      </c>
      <c r="V56" s="3"/>
      <c r="W56" s="78"/>
      <c r="X56" s="79" t="s">
        <v>1271</v>
      </c>
      <c r="Y56" s="81">
        <f>SUM(Y59:Y65)</f>
        <v>0</v>
      </c>
      <c r="Z56" s="3"/>
      <c r="AA56" s="78"/>
      <c r="AB56" s="79" t="s">
        <v>1271</v>
      </c>
      <c r="AC56" s="81">
        <f>SUM(AC59:AC65)</f>
        <v>0</v>
      </c>
      <c r="AD56" s="3"/>
    </row>
    <row r="57" spans="1:30" ht="13.5" thickBot="1">
      <c r="A57" s="117">
        <v>54</v>
      </c>
      <c r="B57" s="82" t="s">
        <v>202</v>
      </c>
      <c r="C57" s="83"/>
      <c r="D57" s="83" t="s">
        <v>1270</v>
      </c>
      <c r="E57" s="83"/>
      <c r="F57" s="83"/>
      <c r="G57" s="83"/>
      <c r="H57" s="83"/>
      <c r="I57" s="83"/>
      <c r="J57" s="3"/>
      <c r="K57" s="82" t="s">
        <v>1481</v>
      </c>
      <c r="L57" s="83" t="s">
        <v>1270</v>
      </c>
      <c r="M57" s="83"/>
      <c r="N57" s="3"/>
      <c r="O57" s="82" t="s">
        <v>1481</v>
      </c>
      <c r="P57" s="83" t="s">
        <v>1270</v>
      </c>
      <c r="Q57" s="83"/>
      <c r="R57" s="3"/>
      <c r="S57" s="82" t="s">
        <v>1481</v>
      </c>
      <c r="T57" s="83" t="s">
        <v>1270</v>
      </c>
      <c r="U57" s="83"/>
      <c r="V57" s="3"/>
      <c r="W57" s="82" t="s">
        <v>1481</v>
      </c>
      <c r="X57" s="83" t="s">
        <v>1270</v>
      </c>
      <c r="Y57" s="83"/>
      <c r="Z57" s="3"/>
      <c r="AA57" s="82" t="s">
        <v>1481</v>
      </c>
      <c r="AB57" s="83" t="s">
        <v>1270</v>
      </c>
      <c r="AC57" s="83"/>
      <c r="AD57" s="3"/>
    </row>
    <row r="58" spans="1:30" ht="13.5" thickBot="1">
      <c r="A58" s="117">
        <v>55</v>
      </c>
      <c r="B58" s="16" t="s">
        <v>1269</v>
      </c>
      <c r="C58" s="37"/>
      <c r="D58" s="37" t="str">
        <f>PROPER(units)</f>
        <v>Grams</v>
      </c>
      <c r="E58" s="37"/>
      <c r="F58" s="37"/>
      <c r="G58" s="37"/>
      <c r="H58" s="37"/>
      <c r="I58" s="36" t="s">
        <v>1474</v>
      </c>
      <c r="J58" s="3"/>
      <c r="K58" s="16" t="s">
        <v>1269</v>
      </c>
      <c r="L58" s="37" t="str">
        <f>PROPER(units)</f>
        <v>Grams</v>
      </c>
      <c r="M58" s="36" t="s">
        <v>1474</v>
      </c>
      <c r="N58" s="3"/>
      <c r="O58" s="16" t="s">
        <v>1269</v>
      </c>
      <c r="P58" s="37" t="str">
        <f>PROPER(units)</f>
        <v>Grams</v>
      </c>
      <c r="Q58" s="36" t="s">
        <v>1474</v>
      </c>
      <c r="R58" s="3"/>
      <c r="S58" s="16" t="s">
        <v>1269</v>
      </c>
      <c r="T58" s="37" t="str">
        <f>PROPER(units)</f>
        <v>Grams</v>
      </c>
      <c r="U58" s="36" t="s">
        <v>1474</v>
      </c>
      <c r="V58" s="3"/>
      <c r="W58" s="16" t="s">
        <v>1269</v>
      </c>
      <c r="X58" s="37" t="str">
        <f>PROPER(units)</f>
        <v>Grams</v>
      </c>
      <c r="Y58" s="36" t="s">
        <v>1474</v>
      </c>
      <c r="Z58" s="3"/>
      <c r="AA58" s="16" t="s">
        <v>1269</v>
      </c>
      <c r="AB58" s="37" t="str">
        <f>PROPER(units)</f>
        <v>Grams</v>
      </c>
      <c r="AC58" s="36" t="s">
        <v>1474</v>
      </c>
      <c r="AD58" s="3"/>
    </row>
    <row r="59" spans="1:30">
      <c r="A59" s="117">
        <v>56</v>
      </c>
      <c r="B59" s="45">
        <f t="shared" ref="B59:B65" ca="1" si="65">INDEX(INDIRECT(Body.db),A59,1)</f>
        <v>0</v>
      </c>
      <c r="C59" s="104">
        <f t="shared" ref="C59:C65" ca="1" si="66">IF(B59&gt;0,IF(G59-E59&gt;E59-H59,H59,G59),)</f>
        <v>0</v>
      </c>
      <c r="D59" s="48">
        <f t="shared" ref="D59:D65" ca="1" si="67">INDEX(INDIRECT(VLOOKUP(Body.type,Body_type,5,FALSE)),A59,2)</f>
        <v>0</v>
      </c>
      <c r="E59" s="104">
        <f t="shared" ref="E59:E65" ca="1" si="68">IF(B59&gt;0,D59*$J$4,)</f>
        <v>0</v>
      </c>
      <c r="F59" s="104">
        <f t="shared" ref="F59:F65" ca="1" si="69">IF(B59&gt;0,VLOOKUP(B59,Food_Database,9,FALSE),)</f>
        <v>0</v>
      </c>
      <c r="G59" s="104">
        <f t="shared" ref="G59:G65" ca="1" si="70">IF(B59&gt;0,CEILING(E59,F59),)</f>
        <v>0</v>
      </c>
      <c r="H59" s="104">
        <f t="shared" ref="H59:H65" ca="1" si="71">IF(B59&gt;0,FLOOR(E59,F59),)</f>
        <v>0</v>
      </c>
      <c r="I59" s="41">
        <f t="shared" ref="I59:I65" ca="1" si="72">IF(B59&gt;0,VLOOKUP(B59,Food_Database,2,FALSE)*C59/convert,)</f>
        <v>0</v>
      </c>
      <c r="J59" s="3"/>
      <c r="K59" s="45"/>
      <c r="L59" s="51"/>
      <c r="M59" s="41">
        <f t="shared" ref="M59:M65" si="73">IF(K59&gt;0,VLOOKUP(K59,Food_Database,2,FALSE)*L59/convert,)</f>
        <v>0</v>
      </c>
      <c r="N59" s="3"/>
      <c r="O59" s="45"/>
      <c r="P59" s="51"/>
      <c r="Q59" s="41">
        <f t="shared" ref="Q59:Q65" si="74">IF(O59&gt;0,VLOOKUP(O59,Food_Database,2,FALSE)*P59/convert,)</f>
        <v>0</v>
      </c>
      <c r="R59" s="3"/>
      <c r="S59" s="45"/>
      <c r="T59" s="51"/>
      <c r="U59" s="41">
        <f t="shared" ref="U59:U65" si="75">IF(S59&gt;0,VLOOKUP(S59,Food_Database,2,FALSE)*T59/convert,)</f>
        <v>0</v>
      </c>
      <c r="V59" s="3"/>
      <c r="W59" s="45"/>
      <c r="X59" s="51"/>
      <c r="Y59" s="41">
        <f t="shared" ref="Y59:Y65" si="76">IF(W59&gt;0,VLOOKUP(W59,Food_Database,2,FALSE)*X59/convert,)</f>
        <v>0</v>
      </c>
      <c r="Z59" s="3"/>
      <c r="AA59" s="45"/>
      <c r="AB59" s="51"/>
      <c r="AC59" s="41">
        <f t="shared" ref="AC59:AC65" si="77">IF(AA59&gt;0,VLOOKUP(AA59,Food_Database,2,FALSE)*AB59/convert,)</f>
        <v>0</v>
      </c>
      <c r="AD59" s="3"/>
    </row>
    <row r="60" spans="1:30">
      <c r="A60" s="117">
        <v>57</v>
      </c>
      <c r="B60" s="46">
        <f t="shared" ca="1" si="65"/>
        <v>0</v>
      </c>
      <c r="C60" s="105">
        <f t="shared" ca="1" si="66"/>
        <v>0</v>
      </c>
      <c r="D60" s="49">
        <f t="shared" ca="1" si="67"/>
        <v>0</v>
      </c>
      <c r="E60" s="105">
        <f t="shared" ca="1" si="68"/>
        <v>0</v>
      </c>
      <c r="F60" s="105">
        <f t="shared" ca="1" si="69"/>
        <v>0</v>
      </c>
      <c r="G60" s="105">
        <f t="shared" ca="1" si="70"/>
        <v>0</v>
      </c>
      <c r="H60" s="105">
        <f t="shared" ca="1" si="71"/>
        <v>0</v>
      </c>
      <c r="I60" s="41">
        <f t="shared" ca="1" si="72"/>
        <v>0</v>
      </c>
      <c r="J60" s="3"/>
      <c r="K60" s="46"/>
      <c r="L60" s="52"/>
      <c r="M60" s="41">
        <f t="shared" si="73"/>
        <v>0</v>
      </c>
      <c r="N60" s="3"/>
      <c r="O60" s="46"/>
      <c r="P60" s="52"/>
      <c r="Q60" s="41">
        <f t="shared" si="74"/>
        <v>0</v>
      </c>
      <c r="R60" s="3"/>
      <c r="S60" s="46"/>
      <c r="T60" s="52"/>
      <c r="U60" s="41">
        <f t="shared" si="75"/>
        <v>0</v>
      </c>
      <c r="V60" s="3"/>
      <c r="W60" s="46"/>
      <c r="X60" s="52"/>
      <c r="Y60" s="41">
        <f t="shared" si="76"/>
        <v>0</v>
      </c>
      <c r="Z60" s="3"/>
      <c r="AA60" s="46"/>
      <c r="AB60" s="52"/>
      <c r="AC60" s="41">
        <f t="shared" si="77"/>
        <v>0</v>
      </c>
      <c r="AD60" s="3"/>
    </row>
    <row r="61" spans="1:30">
      <c r="A61" s="117">
        <v>58</v>
      </c>
      <c r="B61" s="46">
        <f t="shared" ca="1" si="65"/>
        <v>0</v>
      </c>
      <c r="C61" s="105">
        <f t="shared" ca="1" si="66"/>
        <v>0</v>
      </c>
      <c r="D61" s="49">
        <f t="shared" ca="1" si="67"/>
        <v>0</v>
      </c>
      <c r="E61" s="105">
        <f t="shared" ca="1" si="68"/>
        <v>0</v>
      </c>
      <c r="F61" s="105">
        <f t="shared" ca="1" si="69"/>
        <v>0</v>
      </c>
      <c r="G61" s="105">
        <f t="shared" ca="1" si="70"/>
        <v>0</v>
      </c>
      <c r="H61" s="105">
        <f t="shared" ca="1" si="71"/>
        <v>0</v>
      </c>
      <c r="I61" s="41">
        <f t="shared" ca="1" si="72"/>
        <v>0</v>
      </c>
      <c r="J61" s="3"/>
      <c r="K61" s="46"/>
      <c r="L61" s="52"/>
      <c r="M61" s="41">
        <f t="shared" si="73"/>
        <v>0</v>
      </c>
      <c r="N61" s="3"/>
      <c r="O61" s="46"/>
      <c r="P61" s="52"/>
      <c r="Q61" s="41">
        <f t="shared" si="74"/>
        <v>0</v>
      </c>
      <c r="R61" s="3"/>
      <c r="S61" s="46"/>
      <c r="T61" s="52"/>
      <c r="U61" s="41">
        <f t="shared" si="75"/>
        <v>0</v>
      </c>
      <c r="V61" s="3"/>
      <c r="W61" s="46"/>
      <c r="X61" s="52"/>
      <c r="Y61" s="41">
        <f t="shared" si="76"/>
        <v>0</v>
      </c>
      <c r="Z61" s="3"/>
      <c r="AA61" s="46"/>
      <c r="AB61" s="52"/>
      <c r="AC61" s="41">
        <f t="shared" si="77"/>
        <v>0</v>
      </c>
      <c r="AD61" s="3"/>
    </row>
    <row r="62" spans="1:30">
      <c r="A62" s="117">
        <v>59</v>
      </c>
      <c r="B62" s="46">
        <f t="shared" ca="1" si="65"/>
        <v>0</v>
      </c>
      <c r="C62" s="105">
        <f t="shared" ca="1" si="66"/>
        <v>0</v>
      </c>
      <c r="D62" s="49">
        <f t="shared" ca="1" si="67"/>
        <v>0</v>
      </c>
      <c r="E62" s="105">
        <f t="shared" ca="1" si="68"/>
        <v>0</v>
      </c>
      <c r="F62" s="105">
        <f t="shared" ca="1" si="69"/>
        <v>0</v>
      </c>
      <c r="G62" s="105">
        <f t="shared" ca="1" si="70"/>
        <v>0</v>
      </c>
      <c r="H62" s="105">
        <f t="shared" ca="1" si="71"/>
        <v>0</v>
      </c>
      <c r="I62" s="41">
        <f t="shared" ca="1" si="72"/>
        <v>0</v>
      </c>
      <c r="J62" s="3"/>
      <c r="K62" s="46"/>
      <c r="L62" s="52"/>
      <c r="M62" s="41">
        <f t="shared" si="73"/>
        <v>0</v>
      </c>
      <c r="N62" s="3"/>
      <c r="O62" s="46"/>
      <c r="P62" s="52"/>
      <c r="Q62" s="41">
        <f t="shared" si="74"/>
        <v>0</v>
      </c>
      <c r="R62" s="3"/>
      <c r="S62" s="46"/>
      <c r="T62" s="52"/>
      <c r="U62" s="41">
        <f t="shared" si="75"/>
        <v>0</v>
      </c>
      <c r="V62" s="3"/>
      <c r="W62" s="46"/>
      <c r="X62" s="52"/>
      <c r="Y62" s="41">
        <f t="shared" si="76"/>
        <v>0</v>
      </c>
      <c r="Z62" s="3"/>
      <c r="AA62" s="46"/>
      <c r="AB62" s="52"/>
      <c r="AC62" s="41">
        <f t="shared" si="77"/>
        <v>0</v>
      </c>
      <c r="AD62" s="3"/>
    </row>
    <row r="63" spans="1:30">
      <c r="A63" s="117">
        <v>60</v>
      </c>
      <c r="B63" s="46">
        <f t="shared" ca="1" si="65"/>
        <v>0</v>
      </c>
      <c r="C63" s="105">
        <f t="shared" ca="1" si="66"/>
        <v>0</v>
      </c>
      <c r="D63" s="49">
        <f t="shared" ca="1" si="67"/>
        <v>0</v>
      </c>
      <c r="E63" s="105">
        <f t="shared" ca="1" si="68"/>
        <v>0</v>
      </c>
      <c r="F63" s="105">
        <f t="shared" ca="1" si="69"/>
        <v>0</v>
      </c>
      <c r="G63" s="105">
        <f t="shared" ca="1" si="70"/>
        <v>0</v>
      </c>
      <c r="H63" s="105">
        <f t="shared" ca="1" si="71"/>
        <v>0</v>
      </c>
      <c r="I63" s="41">
        <f t="shared" ca="1" si="72"/>
        <v>0</v>
      </c>
      <c r="J63" s="3"/>
      <c r="K63" s="46"/>
      <c r="L63" s="52"/>
      <c r="M63" s="41">
        <f t="shared" si="73"/>
        <v>0</v>
      </c>
      <c r="N63" s="3"/>
      <c r="O63" s="46"/>
      <c r="P63" s="52"/>
      <c r="Q63" s="41">
        <f t="shared" si="74"/>
        <v>0</v>
      </c>
      <c r="R63" s="3"/>
      <c r="S63" s="46"/>
      <c r="T63" s="52"/>
      <c r="U63" s="41">
        <f t="shared" si="75"/>
        <v>0</v>
      </c>
      <c r="V63" s="3"/>
      <c r="W63" s="46"/>
      <c r="X63" s="52"/>
      <c r="Y63" s="41">
        <f t="shared" si="76"/>
        <v>0</v>
      </c>
      <c r="Z63" s="3"/>
      <c r="AA63" s="46"/>
      <c r="AB63" s="52"/>
      <c r="AC63" s="41">
        <f t="shared" si="77"/>
        <v>0</v>
      </c>
      <c r="AD63" s="3"/>
    </row>
    <row r="64" spans="1:30">
      <c r="A64" s="117">
        <v>61</v>
      </c>
      <c r="B64" s="46">
        <f t="shared" ca="1" si="65"/>
        <v>0</v>
      </c>
      <c r="C64" s="105">
        <f t="shared" ca="1" si="66"/>
        <v>0</v>
      </c>
      <c r="D64" s="49">
        <f t="shared" ca="1" si="67"/>
        <v>0</v>
      </c>
      <c r="E64" s="105">
        <f t="shared" ca="1" si="68"/>
        <v>0</v>
      </c>
      <c r="F64" s="105">
        <f t="shared" ca="1" si="69"/>
        <v>0</v>
      </c>
      <c r="G64" s="105">
        <f t="shared" ca="1" si="70"/>
        <v>0</v>
      </c>
      <c r="H64" s="105">
        <f t="shared" ca="1" si="71"/>
        <v>0</v>
      </c>
      <c r="I64" s="41">
        <f t="shared" ca="1" si="72"/>
        <v>0</v>
      </c>
      <c r="J64" s="3"/>
      <c r="K64" s="46"/>
      <c r="L64" s="52"/>
      <c r="M64" s="41">
        <f t="shared" si="73"/>
        <v>0</v>
      </c>
      <c r="N64" s="3"/>
      <c r="O64" s="46"/>
      <c r="P64" s="52"/>
      <c r="Q64" s="41">
        <f t="shared" si="74"/>
        <v>0</v>
      </c>
      <c r="R64" s="3"/>
      <c r="S64" s="46"/>
      <c r="T64" s="52"/>
      <c r="U64" s="41">
        <f t="shared" si="75"/>
        <v>0</v>
      </c>
      <c r="V64" s="3"/>
      <c r="W64" s="46"/>
      <c r="X64" s="52"/>
      <c r="Y64" s="41">
        <f t="shared" si="76"/>
        <v>0</v>
      </c>
      <c r="Z64" s="3"/>
      <c r="AA64" s="46"/>
      <c r="AB64" s="52"/>
      <c r="AC64" s="41">
        <f t="shared" si="77"/>
        <v>0</v>
      </c>
      <c r="AD64" s="3"/>
    </row>
    <row r="65" spans="1:30" ht="13.5" thickBot="1">
      <c r="A65" s="117">
        <v>62</v>
      </c>
      <c r="B65" s="47">
        <f t="shared" ca="1" si="65"/>
        <v>0</v>
      </c>
      <c r="C65" s="106">
        <f t="shared" ca="1" si="66"/>
        <v>0</v>
      </c>
      <c r="D65" s="50">
        <f t="shared" ca="1" si="67"/>
        <v>0</v>
      </c>
      <c r="E65" s="106">
        <f t="shared" ca="1" si="68"/>
        <v>0</v>
      </c>
      <c r="F65" s="106">
        <f t="shared" ca="1" si="69"/>
        <v>0</v>
      </c>
      <c r="G65" s="106">
        <f t="shared" ca="1" si="70"/>
        <v>0</v>
      </c>
      <c r="H65" s="106">
        <f t="shared" ca="1" si="71"/>
        <v>0</v>
      </c>
      <c r="I65" s="44">
        <f t="shared" ca="1" si="72"/>
        <v>0</v>
      </c>
      <c r="J65" s="3"/>
      <c r="K65" s="47"/>
      <c r="L65" s="53"/>
      <c r="M65" s="44">
        <f t="shared" si="73"/>
        <v>0</v>
      </c>
      <c r="N65" s="3"/>
      <c r="O65" s="47"/>
      <c r="P65" s="53"/>
      <c r="Q65" s="44">
        <f t="shared" si="74"/>
        <v>0</v>
      </c>
      <c r="R65" s="3"/>
      <c r="S65" s="47"/>
      <c r="T65" s="53"/>
      <c r="U65" s="44">
        <f t="shared" si="75"/>
        <v>0</v>
      </c>
      <c r="V65" s="3"/>
      <c r="W65" s="47"/>
      <c r="X65" s="53"/>
      <c r="Y65" s="44">
        <f t="shared" si="76"/>
        <v>0</v>
      </c>
      <c r="Z65" s="3"/>
      <c r="AA65" s="47"/>
      <c r="AB65" s="53"/>
      <c r="AC65" s="44">
        <f t="shared" si="77"/>
        <v>0</v>
      </c>
      <c r="AD65" s="3"/>
    </row>
    <row r="66" spans="1:30" ht="13.5" thickBot="1">
      <c r="A66" s="117">
        <v>63</v>
      </c>
      <c r="B66" s="77" t="s">
        <v>268</v>
      </c>
      <c r="C66" s="3"/>
      <c r="D66" s="3"/>
      <c r="E66" s="3"/>
      <c r="F66" s="3"/>
      <c r="G66" s="3"/>
      <c r="H66" s="3"/>
      <c r="I66" s="3"/>
      <c r="J66" s="3"/>
      <c r="K66" s="77" t="s">
        <v>268</v>
      </c>
      <c r="L66" s="3"/>
      <c r="M66" s="3"/>
      <c r="N66" s="3"/>
      <c r="O66" s="77" t="s">
        <v>268</v>
      </c>
      <c r="P66" s="3"/>
      <c r="Q66" s="3"/>
      <c r="R66" s="3"/>
      <c r="S66" s="77" t="s">
        <v>268</v>
      </c>
      <c r="T66" s="3"/>
      <c r="U66" s="3"/>
      <c r="V66" s="3"/>
      <c r="W66" s="77" t="s">
        <v>268</v>
      </c>
      <c r="X66" s="3"/>
      <c r="Y66" s="3"/>
      <c r="Z66" s="3"/>
      <c r="AA66" s="77" t="s">
        <v>268</v>
      </c>
      <c r="AB66" s="3"/>
      <c r="AC66" s="3"/>
      <c r="AD66" s="3"/>
    </row>
    <row r="67" spans="1:30" ht="14.25" thickTop="1" thickBot="1">
      <c r="A67" s="117">
        <v>64</v>
      </c>
      <c r="B67" s="78"/>
      <c r="C67" s="79"/>
      <c r="D67" s="79" t="s">
        <v>1271</v>
      </c>
      <c r="E67" s="79"/>
      <c r="F67" s="79"/>
      <c r="G67" s="79"/>
      <c r="H67" s="79"/>
      <c r="I67" s="81" t="e">
        <f ca="1">SUM(I70:I76)</f>
        <v>#DIV/0!</v>
      </c>
      <c r="J67" s="3"/>
      <c r="K67" s="78"/>
      <c r="L67" s="79" t="s">
        <v>1271</v>
      </c>
      <c r="M67" s="81">
        <f>SUM(M70:M76)</f>
        <v>229.72</v>
      </c>
      <c r="N67" s="3"/>
      <c r="O67" s="78"/>
      <c r="P67" s="79" t="s">
        <v>1271</v>
      </c>
      <c r="Q67" s="81">
        <f>SUM(Q70:Q76)</f>
        <v>229.72</v>
      </c>
      <c r="R67" s="3"/>
      <c r="S67" s="78"/>
      <c r="T67" s="79" t="s">
        <v>1271</v>
      </c>
      <c r="U67" s="81">
        <f>SUM(U70:U76)</f>
        <v>229.72</v>
      </c>
      <c r="V67" s="3"/>
      <c r="W67" s="78"/>
      <c r="X67" s="79" t="s">
        <v>1271</v>
      </c>
      <c r="Y67" s="81">
        <f>SUM(Y70:Y76)</f>
        <v>229.72</v>
      </c>
      <c r="Z67" s="3"/>
      <c r="AA67" s="78"/>
      <c r="AB67" s="79" t="s">
        <v>1271</v>
      </c>
      <c r="AC67" s="81">
        <f>SUM(AC70:AC76)</f>
        <v>229.72</v>
      </c>
      <c r="AD67" s="3"/>
    </row>
    <row r="68" spans="1:30" ht="13.5" thickBot="1">
      <c r="A68" s="117">
        <v>65</v>
      </c>
      <c r="B68" s="82" t="str">
        <f>"Meal "&amp;Meal.post&amp;" (Post workout)"</f>
        <v>Meal 0 (Post workout)</v>
      </c>
      <c r="C68" s="83"/>
      <c r="D68" s="83" t="s">
        <v>1270</v>
      </c>
      <c r="E68" s="83"/>
      <c r="F68" s="83"/>
      <c r="G68" s="83"/>
      <c r="H68" s="83"/>
      <c r="I68" s="83"/>
      <c r="J68" s="3"/>
      <c r="K68" s="82" t="s">
        <v>329</v>
      </c>
      <c r="L68" s="83" t="s">
        <v>1270</v>
      </c>
      <c r="M68" s="83"/>
      <c r="N68" s="3"/>
      <c r="O68" s="82" t="s">
        <v>329</v>
      </c>
      <c r="P68" s="83" t="s">
        <v>1270</v>
      </c>
      <c r="Q68" s="83"/>
      <c r="R68" s="3"/>
      <c r="S68" s="82" t="s">
        <v>329</v>
      </c>
      <c r="T68" s="83" t="s">
        <v>1270</v>
      </c>
      <c r="U68" s="83"/>
      <c r="V68" s="3"/>
      <c r="W68" s="82" t="s">
        <v>329</v>
      </c>
      <c r="X68" s="83" t="s">
        <v>1270</v>
      </c>
      <c r="Y68" s="83"/>
      <c r="Z68" s="3"/>
      <c r="AA68" s="82" t="s">
        <v>329</v>
      </c>
      <c r="AB68" s="83" t="s">
        <v>1270</v>
      </c>
      <c r="AC68" s="83"/>
      <c r="AD68" s="3"/>
    </row>
    <row r="69" spans="1:30" ht="13.5" thickBot="1">
      <c r="A69" s="117">
        <v>66</v>
      </c>
      <c r="B69" s="16" t="s">
        <v>1269</v>
      </c>
      <c r="C69" s="37"/>
      <c r="D69" s="37" t="str">
        <f>PROPER(units)</f>
        <v>Grams</v>
      </c>
      <c r="E69" s="37"/>
      <c r="F69" s="37"/>
      <c r="G69" s="37"/>
      <c r="H69" s="37"/>
      <c r="I69" s="36" t="s">
        <v>1474</v>
      </c>
      <c r="J69" s="3"/>
      <c r="K69" s="16" t="s">
        <v>1269</v>
      </c>
      <c r="L69" s="37" t="str">
        <f>PROPER(units)</f>
        <v>Grams</v>
      </c>
      <c r="M69" s="36" t="s">
        <v>1474</v>
      </c>
      <c r="N69" s="3"/>
      <c r="O69" s="16" t="s">
        <v>1269</v>
      </c>
      <c r="P69" s="37" t="str">
        <f>PROPER(units)</f>
        <v>Grams</v>
      </c>
      <c r="Q69" s="36" t="s">
        <v>1474</v>
      </c>
      <c r="R69" s="3"/>
      <c r="S69" s="16" t="s">
        <v>1269</v>
      </c>
      <c r="T69" s="37" t="str">
        <f>PROPER(units)</f>
        <v>Grams</v>
      </c>
      <c r="U69" s="36" t="s">
        <v>1474</v>
      </c>
      <c r="V69" s="3"/>
      <c r="W69" s="16" t="s">
        <v>1269</v>
      </c>
      <c r="X69" s="37" t="str">
        <f>PROPER(units)</f>
        <v>Grams</v>
      </c>
      <c r="Y69" s="36" t="s">
        <v>1474</v>
      </c>
      <c r="Z69" s="3"/>
      <c r="AA69" s="16" t="s">
        <v>1269</v>
      </c>
      <c r="AB69" s="37" t="str">
        <f>PROPER(units)</f>
        <v>Grams</v>
      </c>
      <c r="AC69" s="36" t="s">
        <v>1474</v>
      </c>
      <c r="AD69" s="3"/>
    </row>
    <row r="70" spans="1:30">
      <c r="A70" s="117">
        <v>67</v>
      </c>
      <c r="B70" s="45" t="str">
        <f t="shared" ref="B70:B76" ca="1" si="78">INDEX(INDIRECT(Body.db),A70,1)</f>
        <v>* BREAD,MULTI/WHL GRAIN</v>
      </c>
      <c r="C70" s="104" t="e">
        <f t="shared" ref="C70:C76" ca="1" si="79">IF(B70&gt;0,IF(G70-E70&gt;E70-H70,H70,G70),)</f>
        <v>#DIV/0!</v>
      </c>
      <c r="D70" s="48">
        <f t="shared" ref="D70:D76" ca="1" si="80">INDEX(INDIRECT(VLOOKUP(Body.type,Body_type,5,FALSE)),A70,2)</f>
        <v>52</v>
      </c>
      <c r="E70" s="104" t="e">
        <f t="shared" ref="E70:E76" ca="1" si="81">IF(B70&gt;0,D70*$J$4,)</f>
        <v>#DIV/0!</v>
      </c>
      <c r="F70" s="104">
        <f t="shared" ref="F70:F76" ca="1" si="82">IF(B70&gt;0,VLOOKUP(B70,Food_Database,9,FALSE),)</f>
        <v>13</v>
      </c>
      <c r="G70" s="104" t="e">
        <f t="shared" ref="G70:G76" ca="1" si="83">IF(B70&gt;0,CEILING(E70,F70),)</f>
        <v>#DIV/0!</v>
      </c>
      <c r="H70" s="104" t="e">
        <f t="shared" ref="H70:H76" ca="1" si="84">IF(B70&gt;0,FLOOR(E70,F70),)</f>
        <v>#DIV/0!</v>
      </c>
      <c r="I70" s="41" t="e">
        <f t="shared" ref="I70:I76" ca="1" si="85">IF(B70&gt;0,VLOOKUP(B70,Food_Database,2,FALSE)*C70/convert,)</f>
        <v>#DIV/0!</v>
      </c>
      <c r="J70" s="3"/>
      <c r="K70" s="45" t="s">
        <v>746</v>
      </c>
      <c r="L70" s="48">
        <v>52</v>
      </c>
      <c r="M70" s="41">
        <f t="shared" ref="M70:M76" si="86">IF(K70&gt;0,VLOOKUP(K70,Food_Database,2,FALSE)*L70/convert,)</f>
        <v>137.80000000000001</v>
      </c>
      <c r="N70" s="3"/>
      <c r="O70" s="45" t="s">
        <v>746</v>
      </c>
      <c r="P70" s="48">
        <v>52</v>
      </c>
      <c r="Q70" s="41">
        <f t="shared" ref="Q70:Q76" si="87">IF(O70&gt;0,VLOOKUP(O70,Food_Database,2,FALSE)*P70/convert,)</f>
        <v>137.80000000000001</v>
      </c>
      <c r="R70" s="3"/>
      <c r="S70" s="45" t="s">
        <v>746</v>
      </c>
      <c r="T70" s="48">
        <v>52</v>
      </c>
      <c r="U70" s="41">
        <f t="shared" ref="U70:U76" si="88">IF(S70&gt;0,VLOOKUP(S70,Food_Database,2,FALSE)*T70/convert,)</f>
        <v>137.80000000000001</v>
      </c>
      <c r="V70" s="3"/>
      <c r="W70" s="45" t="s">
        <v>746</v>
      </c>
      <c r="X70" s="48">
        <v>52</v>
      </c>
      <c r="Y70" s="41">
        <f t="shared" ref="Y70:Y76" si="89">IF(W70&gt;0,VLOOKUP(W70,Food_Database,2,FALSE)*X70/convert,)</f>
        <v>137.80000000000001</v>
      </c>
      <c r="Z70" s="3"/>
      <c r="AA70" s="45" t="s">
        <v>746</v>
      </c>
      <c r="AB70" s="48">
        <v>52</v>
      </c>
      <c r="AC70" s="41">
        <f t="shared" ref="AC70:AC76" si="90">IF(AA70&gt;0,VLOOKUP(AA70,Food_Database,2,FALSE)*AB70/convert,)</f>
        <v>137.80000000000001</v>
      </c>
      <c r="AD70" s="3"/>
    </row>
    <row r="71" spans="1:30">
      <c r="A71" s="117">
        <v>68</v>
      </c>
      <c r="B71" s="46" t="str">
        <f t="shared" ca="1" si="78"/>
        <v>* TURKEY BREAST MEAT</v>
      </c>
      <c r="C71" s="105" t="e">
        <f t="shared" ca="1" si="79"/>
        <v>#DIV/0!</v>
      </c>
      <c r="D71" s="49">
        <f t="shared" ca="1" si="80"/>
        <v>63</v>
      </c>
      <c r="E71" s="105" t="e">
        <f t="shared" ca="1" si="81"/>
        <v>#DIV/0!</v>
      </c>
      <c r="F71" s="105">
        <f t="shared" ca="1" si="82"/>
        <v>10.5</v>
      </c>
      <c r="G71" s="105" t="e">
        <f t="shared" ca="1" si="83"/>
        <v>#DIV/0!</v>
      </c>
      <c r="H71" s="105" t="e">
        <f t="shared" ca="1" si="84"/>
        <v>#DIV/0!</v>
      </c>
      <c r="I71" s="41" t="e">
        <f t="shared" ca="1" si="85"/>
        <v>#DIV/0!</v>
      </c>
      <c r="J71" s="3"/>
      <c r="K71" s="46" t="s">
        <v>219</v>
      </c>
      <c r="L71" s="49">
        <v>63</v>
      </c>
      <c r="M71" s="41">
        <f t="shared" si="86"/>
        <v>65.52</v>
      </c>
      <c r="N71" s="3"/>
      <c r="O71" s="46" t="s">
        <v>219</v>
      </c>
      <c r="P71" s="49">
        <v>63</v>
      </c>
      <c r="Q71" s="41">
        <f t="shared" si="87"/>
        <v>65.52</v>
      </c>
      <c r="R71" s="3"/>
      <c r="S71" s="46" t="s">
        <v>219</v>
      </c>
      <c r="T71" s="49">
        <v>63</v>
      </c>
      <c r="U71" s="41">
        <f t="shared" si="88"/>
        <v>65.52</v>
      </c>
      <c r="V71" s="3"/>
      <c r="W71" s="46" t="s">
        <v>219</v>
      </c>
      <c r="X71" s="49">
        <v>63</v>
      </c>
      <c r="Y71" s="41">
        <f t="shared" si="89"/>
        <v>65.52</v>
      </c>
      <c r="Z71" s="3"/>
      <c r="AA71" s="46" t="s">
        <v>219</v>
      </c>
      <c r="AB71" s="49">
        <v>63</v>
      </c>
      <c r="AC71" s="41">
        <f t="shared" si="90"/>
        <v>65.52</v>
      </c>
      <c r="AD71" s="3"/>
    </row>
    <row r="72" spans="1:30">
      <c r="A72" s="117">
        <v>69</v>
      </c>
      <c r="B72" s="46" t="str">
        <f t="shared" ca="1" si="78"/>
        <v>* SPORTS DRINK, LOW CALORIE</v>
      </c>
      <c r="C72" s="105" t="e">
        <f t="shared" ca="1" si="79"/>
        <v>#DIV/0!</v>
      </c>
      <c r="D72" s="49">
        <f t="shared" ca="1" si="80"/>
        <v>240</v>
      </c>
      <c r="E72" s="105" t="e">
        <f t="shared" ca="1" si="81"/>
        <v>#DIV/0!</v>
      </c>
      <c r="F72" s="105">
        <f t="shared" ca="1" si="82"/>
        <v>30</v>
      </c>
      <c r="G72" s="105" t="e">
        <f t="shared" ca="1" si="83"/>
        <v>#DIV/0!</v>
      </c>
      <c r="H72" s="105" t="e">
        <f t="shared" ca="1" si="84"/>
        <v>#DIV/0!</v>
      </c>
      <c r="I72" s="41" t="e">
        <f t="shared" ca="1" si="85"/>
        <v>#DIV/0!</v>
      </c>
      <c r="J72" s="3"/>
      <c r="K72" s="46" t="s">
        <v>780</v>
      </c>
      <c r="L72" s="49">
        <v>240</v>
      </c>
      <c r="M72" s="41">
        <f t="shared" si="86"/>
        <v>26.4</v>
      </c>
      <c r="N72" s="3"/>
      <c r="O72" s="46" t="s">
        <v>780</v>
      </c>
      <c r="P72" s="49">
        <v>240</v>
      </c>
      <c r="Q72" s="41">
        <f t="shared" si="87"/>
        <v>26.4</v>
      </c>
      <c r="R72" s="3"/>
      <c r="S72" s="46" t="s">
        <v>780</v>
      </c>
      <c r="T72" s="49">
        <v>240</v>
      </c>
      <c r="U72" s="41">
        <f t="shared" si="88"/>
        <v>26.4</v>
      </c>
      <c r="V72" s="3"/>
      <c r="W72" s="46" t="s">
        <v>780</v>
      </c>
      <c r="X72" s="49">
        <v>240</v>
      </c>
      <c r="Y72" s="41">
        <f t="shared" si="89"/>
        <v>26.4</v>
      </c>
      <c r="Z72" s="3"/>
      <c r="AA72" s="46" t="s">
        <v>780</v>
      </c>
      <c r="AB72" s="49">
        <v>240</v>
      </c>
      <c r="AC72" s="41">
        <f t="shared" si="90"/>
        <v>26.4</v>
      </c>
      <c r="AD72" s="3"/>
    </row>
    <row r="73" spans="1:30">
      <c r="A73" s="117">
        <v>70</v>
      </c>
      <c r="B73" s="46">
        <f t="shared" ca="1" si="78"/>
        <v>0</v>
      </c>
      <c r="C73" s="105">
        <f t="shared" ca="1" si="79"/>
        <v>0</v>
      </c>
      <c r="D73" s="49">
        <f t="shared" ca="1" si="80"/>
        <v>0</v>
      </c>
      <c r="E73" s="105">
        <f t="shared" ca="1" si="81"/>
        <v>0</v>
      </c>
      <c r="F73" s="105">
        <f t="shared" ca="1" si="82"/>
        <v>0</v>
      </c>
      <c r="G73" s="105">
        <f t="shared" ca="1" si="83"/>
        <v>0</v>
      </c>
      <c r="H73" s="105">
        <f t="shared" ca="1" si="84"/>
        <v>0</v>
      </c>
      <c r="I73" s="41">
        <f t="shared" ca="1" si="85"/>
        <v>0</v>
      </c>
      <c r="J73" s="3"/>
      <c r="K73" s="46"/>
      <c r="L73" s="49"/>
      <c r="M73" s="41">
        <f t="shared" si="86"/>
        <v>0</v>
      </c>
      <c r="N73" s="3"/>
      <c r="O73" s="46"/>
      <c r="P73" s="49"/>
      <c r="Q73" s="41">
        <f t="shared" si="87"/>
        <v>0</v>
      </c>
      <c r="R73" s="3"/>
      <c r="S73" s="46"/>
      <c r="T73" s="49"/>
      <c r="U73" s="41">
        <f t="shared" si="88"/>
        <v>0</v>
      </c>
      <c r="V73" s="3"/>
      <c r="W73" s="46"/>
      <c r="X73" s="49"/>
      <c r="Y73" s="41">
        <f t="shared" si="89"/>
        <v>0</v>
      </c>
      <c r="Z73" s="3"/>
      <c r="AA73" s="46"/>
      <c r="AB73" s="49"/>
      <c r="AC73" s="41">
        <f t="shared" si="90"/>
        <v>0</v>
      </c>
      <c r="AD73" s="3"/>
    </row>
    <row r="74" spans="1:30">
      <c r="A74" s="117">
        <v>71</v>
      </c>
      <c r="B74" s="46">
        <f t="shared" ca="1" si="78"/>
        <v>0</v>
      </c>
      <c r="C74" s="105">
        <f t="shared" ca="1" si="79"/>
        <v>0</v>
      </c>
      <c r="D74" s="49">
        <f t="shared" ca="1" si="80"/>
        <v>0</v>
      </c>
      <c r="E74" s="105">
        <f t="shared" ca="1" si="81"/>
        <v>0</v>
      </c>
      <c r="F74" s="105">
        <f t="shared" ca="1" si="82"/>
        <v>0</v>
      </c>
      <c r="G74" s="105">
        <f t="shared" ca="1" si="83"/>
        <v>0</v>
      </c>
      <c r="H74" s="105">
        <f t="shared" ca="1" si="84"/>
        <v>0</v>
      </c>
      <c r="I74" s="41">
        <f t="shared" ca="1" si="85"/>
        <v>0</v>
      </c>
      <c r="J74" s="3"/>
      <c r="K74" s="46"/>
      <c r="L74" s="49"/>
      <c r="M74" s="41">
        <f t="shared" si="86"/>
        <v>0</v>
      </c>
      <c r="N74" s="3"/>
      <c r="O74" s="46"/>
      <c r="P74" s="49"/>
      <c r="Q74" s="41">
        <f t="shared" si="87"/>
        <v>0</v>
      </c>
      <c r="R74" s="3"/>
      <c r="S74" s="46"/>
      <c r="T74" s="49"/>
      <c r="U74" s="41">
        <f t="shared" si="88"/>
        <v>0</v>
      </c>
      <c r="V74" s="3"/>
      <c r="W74" s="46"/>
      <c r="X74" s="49"/>
      <c r="Y74" s="41">
        <f t="shared" si="89"/>
        <v>0</v>
      </c>
      <c r="Z74" s="3"/>
      <c r="AA74" s="46"/>
      <c r="AB74" s="49"/>
      <c r="AC74" s="41">
        <f t="shared" si="90"/>
        <v>0</v>
      </c>
      <c r="AD74" s="3"/>
    </row>
    <row r="75" spans="1:30">
      <c r="A75" s="117">
        <v>72</v>
      </c>
      <c r="B75" s="46">
        <f t="shared" ca="1" si="78"/>
        <v>0</v>
      </c>
      <c r="C75" s="105">
        <f t="shared" ca="1" si="79"/>
        <v>0</v>
      </c>
      <c r="D75" s="49">
        <f t="shared" ca="1" si="80"/>
        <v>0</v>
      </c>
      <c r="E75" s="105">
        <f t="shared" ca="1" si="81"/>
        <v>0</v>
      </c>
      <c r="F75" s="105">
        <f t="shared" ca="1" si="82"/>
        <v>0</v>
      </c>
      <c r="G75" s="105">
        <f t="shared" ca="1" si="83"/>
        <v>0</v>
      </c>
      <c r="H75" s="105">
        <f t="shared" ca="1" si="84"/>
        <v>0</v>
      </c>
      <c r="I75" s="41">
        <f t="shared" ca="1" si="85"/>
        <v>0</v>
      </c>
      <c r="J75" s="3"/>
      <c r="K75" s="46"/>
      <c r="L75" s="49"/>
      <c r="M75" s="41">
        <f t="shared" si="86"/>
        <v>0</v>
      </c>
      <c r="N75" s="3"/>
      <c r="O75" s="46"/>
      <c r="P75" s="49"/>
      <c r="Q75" s="41">
        <f t="shared" si="87"/>
        <v>0</v>
      </c>
      <c r="R75" s="3"/>
      <c r="S75" s="46"/>
      <c r="T75" s="49"/>
      <c r="U75" s="41">
        <f t="shared" si="88"/>
        <v>0</v>
      </c>
      <c r="V75" s="3"/>
      <c r="W75" s="46"/>
      <c r="X75" s="49"/>
      <c r="Y75" s="41">
        <f t="shared" si="89"/>
        <v>0</v>
      </c>
      <c r="Z75" s="3"/>
      <c r="AA75" s="46"/>
      <c r="AB75" s="49"/>
      <c r="AC75" s="41">
        <f t="shared" si="90"/>
        <v>0</v>
      </c>
      <c r="AD75" s="3"/>
    </row>
    <row r="76" spans="1:30" ht="13.5" thickBot="1">
      <c r="A76" s="117">
        <v>73</v>
      </c>
      <c r="B76" s="47">
        <f t="shared" ca="1" si="78"/>
        <v>0</v>
      </c>
      <c r="C76" s="106">
        <f t="shared" ca="1" si="79"/>
        <v>0</v>
      </c>
      <c r="D76" s="50">
        <f t="shared" ca="1" si="80"/>
        <v>0</v>
      </c>
      <c r="E76" s="106">
        <f t="shared" ca="1" si="81"/>
        <v>0</v>
      </c>
      <c r="F76" s="106">
        <f t="shared" ca="1" si="82"/>
        <v>0</v>
      </c>
      <c r="G76" s="106">
        <f t="shared" ca="1" si="83"/>
        <v>0</v>
      </c>
      <c r="H76" s="106">
        <f t="shared" ca="1" si="84"/>
        <v>0</v>
      </c>
      <c r="I76" s="44">
        <f t="shared" ca="1" si="85"/>
        <v>0</v>
      </c>
      <c r="J76" s="3"/>
      <c r="K76" s="47"/>
      <c r="L76" s="50"/>
      <c r="M76" s="44">
        <f t="shared" si="86"/>
        <v>0</v>
      </c>
      <c r="N76" s="3"/>
      <c r="O76" s="47"/>
      <c r="P76" s="50"/>
      <c r="Q76" s="44">
        <f t="shared" si="87"/>
        <v>0</v>
      </c>
      <c r="R76" s="3"/>
      <c r="S76" s="47"/>
      <c r="T76" s="50"/>
      <c r="U76" s="44">
        <f t="shared" si="88"/>
        <v>0</v>
      </c>
      <c r="V76" s="3"/>
      <c r="W76" s="47"/>
      <c r="X76" s="50"/>
      <c r="Y76" s="44">
        <f t="shared" si="89"/>
        <v>0</v>
      </c>
      <c r="Z76" s="3"/>
      <c r="AA76" s="47"/>
      <c r="AB76" s="50"/>
      <c r="AC76" s="44">
        <f t="shared" si="90"/>
        <v>0</v>
      </c>
      <c r="AD76" s="3"/>
    </row>
    <row r="77" spans="1:30">
      <c r="A77" s="3"/>
      <c r="B77" s="77" t="s">
        <v>268</v>
      </c>
      <c r="C77" s="3"/>
      <c r="D77" s="3"/>
      <c r="E77" s="3"/>
      <c r="F77" s="3"/>
      <c r="G77" s="3"/>
      <c r="H77" s="3"/>
      <c r="I77" s="3"/>
      <c r="J77" s="3"/>
      <c r="K77" s="77" t="s">
        <v>268</v>
      </c>
      <c r="L77" s="3"/>
      <c r="M77" s="3"/>
      <c r="N77" s="3"/>
      <c r="O77" s="77" t="s">
        <v>268</v>
      </c>
      <c r="P77" s="3"/>
      <c r="Q77" s="3"/>
      <c r="R77" s="3"/>
      <c r="S77" s="77" t="s">
        <v>268</v>
      </c>
      <c r="T77" s="3"/>
      <c r="U77" s="3"/>
      <c r="V77" s="3"/>
      <c r="W77" s="77" t="s">
        <v>268</v>
      </c>
      <c r="X77" s="3"/>
      <c r="Y77" s="3"/>
      <c r="Z77" s="3"/>
      <c r="AA77" s="77" t="s">
        <v>268</v>
      </c>
      <c r="AB77" s="3"/>
      <c r="AC77" s="3"/>
      <c r="AD77" s="3"/>
    </row>
  </sheetData>
  <phoneticPr fontId="2" type="noConversion"/>
  <dataValidations count="1">
    <dataValidation type="list" allowBlank="1" showInputMessage="1" showErrorMessage="1" sqref="AA37:AA43 AA15:AA21 W15:W21 O15:O21 S15:S21 K15:K21 K26:K32 S26:S32 O26:O32 W26:W32 AA26:AA32 AA4:AA10 W4:W10 O4:O10 K4:K10 S4:S10 AA48:AA54 W37:W43 W48:W54 S37:S43 O48:O54 K37:K43 S48:S54 O37:O43 K48:K54 AA59:AA65 W59:W65 O59:O65 S59:S65 K59:K65 AA70:AA76 W70:W76 O70:O76 S70:S76 K70:K76" xr:uid="{00000000-0002-0000-0500-000000000000}">
      <formula1>OFFSET(INDIRECT(Foodgroup_db),,,,1)</formula1>
    </dataValidation>
  </dataValidations>
  <pageMargins left="0.75" right="0.75" top="1" bottom="1" header="0.5" footer="0.5"/>
  <pageSetup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"/>
  <dimension ref="A2:V1005"/>
  <sheetViews>
    <sheetView topLeftCell="D1" zoomScale="80" zoomScaleNormal="80" workbookViewId="0">
      <pane ySplit="21" topLeftCell="A571" activePane="bottomLeft" state="frozenSplit"/>
      <selection activeCell="AA4" sqref="AA4:AB76"/>
      <selection pane="bottomLeft" activeCell="R3" sqref="R3"/>
    </sheetView>
  </sheetViews>
  <sheetFormatPr defaultColWidth="8.85546875" defaultRowHeight="12.75"/>
  <cols>
    <col min="1" max="1" width="5.140625" style="1" customWidth="1"/>
    <col min="2" max="2" width="57.28515625" style="1" bestFit="1" customWidth="1"/>
    <col min="3" max="3" width="8.140625" style="1" bestFit="1" customWidth="1"/>
    <col min="4" max="4" width="7.28515625" style="1" bestFit="1" customWidth="1"/>
    <col min="5" max="5" width="19.85546875" style="1" bestFit="1" customWidth="1"/>
    <col min="6" max="6" width="16.28515625" style="1" bestFit="1" customWidth="1"/>
    <col min="7" max="7" width="16.140625" style="1" bestFit="1" customWidth="1"/>
    <col min="8" max="8" width="36.42578125" style="1" bestFit="1" customWidth="1"/>
    <col min="9" max="10" width="10.28515625" style="1" bestFit="1" customWidth="1"/>
    <col min="11" max="11" width="10.28515625" style="1" customWidth="1"/>
    <col min="12" max="12" width="16.140625" style="1" customWidth="1"/>
    <col min="13" max="13" width="13" style="1" customWidth="1"/>
    <col min="14" max="14" width="17.140625" style="1" customWidth="1"/>
    <col min="15" max="15" width="8.85546875" style="1"/>
    <col min="16" max="16" width="11.7109375" style="1" bestFit="1" customWidth="1"/>
    <col min="17" max="17" width="8.85546875" style="1"/>
    <col min="18" max="18" width="14.85546875" style="1" customWidth="1"/>
    <col min="19" max="19" width="14.28515625" style="1" customWidth="1"/>
    <col min="20" max="16384" width="8.85546875" style="1"/>
  </cols>
  <sheetData>
    <row r="2" spans="2:21" ht="13.5" thickBot="1">
      <c r="B2" s="20" t="s">
        <v>19</v>
      </c>
      <c r="E2" s="21" t="s">
        <v>1268</v>
      </c>
      <c r="F2" s="120" t="str">
        <f>VLOOKUP(Foodgroup,Foodgroups,2,FALSE)</f>
        <v>Fruit</v>
      </c>
      <c r="H2" s="20" t="s">
        <v>487</v>
      </c>
      <c r="I2" s="122">
        <f ca="1">IF(Body.type&gt;0,MATCH(Body.type,OFFSET(Body_type,,,,1),),)</f>
        <v>1</v>
      </c>
      <c r="L2" s="122" t="str">
        <f>IF(Body.type&gt;0,VLOOKUP(Body.type,Body_type,5,FALSE),L4)</f>
        <v>Ecto</v>
      </c>
      <c r="P2" s="20" t="s">
        <v>649</v>
      </c>
    </row>
    <row r="3" spans="2:21" ht="13.5" thickTop="1">
      <c r="B3" s="29" t="s">
        <v>20</v>
      </c>
      <c r="C3" s="30" t="s">
        <v>21</v>
      </c>
      <c r="E3" s="11" t="s">
        <v>13</v>
      </c>
      <c r="F3" s="119" t="s">
        <v>1261</v>
      </c>
      <c r="H3" s="158" t="s">
        <v>488</v>
      </c>
      <c r="I3" s="159" t="s">
        <v>1476</v>
      </c>
      <c r="J3" s="159" t="s">
        <v>99</v>
      </c>
      <c r="K3" s="159" t="s">
        <v>1475</v>
      </c>
      <c r="L3" s="67" t="s">
        <v>515</v>
      </c>
      <c r="M3" s="159" t="s">
        <v>534</v>
      </c>
      <c r="N3" s="160" t="s">
        <v>533</v>
      </c>
      <c r="P3" s="158" t="s">
        <v>651</v>
      </c>
      <c r="Q3" s="160" t="s">
        <v>199</v>
      </c>
      <c r="R3" s="122">
        <f>VLOOKUP('Meal Manager'!C15,P4:Q9,2,FALSE)</f>
        <v>0</v>
      </c>
    </row>
    <row r="4" spans="2:21">
      <c r="B4" s="26" t="s">
        <v>477</v>
      </c>
      <c r="C4" s="28">
        <v>1.375</v>
      </c>
      <c r="E4" s="26" t="s">
        <v>1260</v>
      </c>
      <c r="F4" s="28" t="s">
        <v>1260</v>
      </c>
      <c r="H4" s="26" t="s">
        <v>513</v>
      </c>
      <c r="I4" s="137">
        <v>0.5</v>
      </c>
      <c r="J4" s="137">
        <v>0.35</v>
      </c>
      <c r="K4" s="137">
        <v>0.15</v>
      </c>
      <c r="L4" s="135" t="s">
        <v>489</v>
      </c>
      <c r="M4" s="137">
        <v>0.2</v>
      </c>
      <c r="N4" s="139">
        <v>0.1</v>
      </c>
      <c r="P4" s="26" t="s">
        <v>527</v>
      </c>
      <c r="Q4" s="168">
        <v>0</v>
      </c>
    </row>
    <row r="5" spans="2:21">
      <c r="B5" s="26" t="s">
        <v>478</v>
      </c>
      <c r="C5" s="28">
        <v>1.4624999999999999</v>
      </c>
      <c r="E5" s="26" t="s">
        <v>1403</v>
      </c>
      <c r="F5" s="28" t="s">
        <v>1403</v>
      </c>
      <c r="H5" s="26" t="s">
        <v>492</v>
      </c>
      <c r="I5" s="137">
        <v>0.45</v>
      </c>
      <c r="J5" s="137">
        <v>0.35</v>
      </c>
      <c r="K5" s="137">
        <v>0.2</v>
      </c>
      <c r="L5" s="135" t="s">
        <v>516</v>
      </c>
      <c r="M5" s="137">
        <v>0.17499999999999999</v>
      </c>
      <c r="N5" s="139">
        <v>0.125</v>
      </c>
      <c r="P5" s="26" t="s">
        <v>529</v>
      </c>
      <c r="Q5" s="168">
        <v>2</v>
      </c>
    </row>
    <row r="6" spans="2:21">
      <c r="B6" s="26" t="s">
        <v>479</v>
      </c>
      <c r="C6" s="28">
        <v>1.55</v>
      </c>
      <c r="E6" s="26" t="s">
        <v>41</v>
      </c>
      <c r="F6" s="28" t="s">
        <v>41</v>
      </c>
      <c r="H6" s="26" t="s">
        <v>177</v>
      </c>
      <c r="I6" s="137">
        <v>0.43</v>
      </c>
      <c r="J6" s="137">
        <v>0.35</v>
      </c>
      <c r="K6" s="137">
        <v>0.22</v>
      </c>
      <c r="L6" s="135" t="s">
        <v>490</v>
      </c>
      <c r="M6" s="137">
        <v>0.16500000000000001</v>
      </c>
      <c r="N6" s="139">
        <v>0.2</v>
      </c>
      <c r="P6" s="26" t="s">
        <v>530</v>
      </c>
      <c r="Q6" s="168">
        <v>3</v>
      </c>
    </row>
    <row r="7" spans="2:21">
      <c r="B7" s="26" t="s">
        <v>480</v>
      </c>
      <c r="C7" s="28">
        <v>1.6375</v>
      </c>
      <c r="E7" s="26" t="s">
        <v>1256</v>
      </c>
      <c r="F7" s="28" t="s">
        <v>1265</v>
      </c>
      <c r="H7" s="26" t="s">
        <v>120</v>
      </c>
      <c r="I7" s="137">
        <v>0.4</v>
      </c>
      <c r="J7" s="137">
        <v>0.4</v>
      </c>
      <c r="K7" s="137">
        <v>0.2</v>
      </c>
      <c r="L7" s="135" t="s">
        <v>517</v>
      </c>
      <c r="M7" s="137">
        <v>0.125</v>
      </c>
      <c r="N7" s="139">
        <v>0.17499999999999999</v>
      </c>
      <c r="P7" s="26" t="s">
        <v>531</v>
      </c>
      <c r="Q7" s="168">
        <v>4</v>
      </c>
      <c r="R7"/>
      <c r="U7"/>
    </row>
    <row r="8" spans="2:21" ht="13.5" thickBot="1">
      <c r="B8" s="26" t="s">
        <v>481</v>
      </c>
      <c r="C8" s="28">
        <v>1.7250000000000001</v>
      </c>
      <c r="E8" s="26" t="s">
        <v>1253</v>
      </c>
      <c r="F8" s="28" t="s">
        <v>1264</v>
      </c>
      <c r="H8" s="31" t="s">
        <v>514</v>
      </c>
      <c r="I8" s="138">
        <v>0.4</v>
      </c>
      <c r="J8" s="138">
        <v>0.35</v>
      </c>
      <c r="K8" s="138">
        <v>0.25</v>
      </c>
      <c r="L8" s="136" t="s">
        <v>491</v>
      </c>
      <c r="M8" s="138">
        <v>0.15</v>
      </c>
      <c r="N8" s="140">
        <v>0.15</v>
      </c>
      <c r="P8" s="31" t="s">
        <v>532</v>
      </c>
      <c r="Q8" s="169">
        <v>5</v>
      </c>
      <c r="R8"/>
      <c r="U8"/>
    </row>
    <row r="9" spans="2:21" ht="13.5" thickTop="1">
      <c r="B9" s="26" t="s">
        <v>482</v>
      </c>
      <c r="C9" s="28">
        <v>1.8125</v>
      </c>
      <c r="E9" s="26" t="s">
        <v>1252</v>
      </c>
      <c r="F9" s="28" t="s">
        <v>1263</v>
      </c>
      <c r="O9"/>
      <c r="P9"/>
      <c r="Q9"/>
      <c r="R9"/>
      <c r="U9"/>
    </row>
    <row r="10" spans="2:21" ht="13.5" thickBot="1">
      <c r="B10" s="26" t="s">
        <v>483</v>
      </c>
      <c r="C10" s="28">
        <v>1.9</v>
      </c>
      <c r="E10" s="26" t="s">
        <v>1407</v>
      </c>
      <c r="F10" s="28" t="s">
        <v>35</v>
      </c>
      <c r="H10" s="221" t="s">
        <v>521</v>
      </c>
      <c r="I10" s="221"/>
      <c r="J10" s="221"/>
      <c r="K10" s="221"/>
      <c r="L10" s="221" t="s">
        <v>528</v>
      </c>
      <c r="M10" s="221"/>
      <c r="N10" s="221"/>
      <c r="Q10"/>
      <c r="T10"/>
      <c r="U10"/>
    </row>
    <row r="11" spans="2:21" ht="13.5" thickTop="1">
      <c r="B11" s="26" t="s">
        <v>484</v>
      </c>
      <c r="C11" s="28">
        <v>1.9875</v>
      </c>
      <c r="E11" s="26" t="s">
        <v>1406</v>
      </c>
      <c r="F11" s="28" t="s">
        <v>1405</v>
      </c>
      <c r="H11" s="158"/>
      <c r="I11" s="159" t="s">
        <v>1476</v>
      </c>
      <c r="J11" s="159" t="s">
        <v>99</v>
      </c>
      <c r="K11" s="159" t="s">
        <v>1475</v>
      </c>
      <c r="L11" s="159" t="s">
        <v>1476</v>
      </c>
      <c r="M11" s="159" t="s">
        <v>99</v>
      </c>
      <c r="N11" s="160" t="s">
        <v>1475</v>
      </c>
      <c r="Q11"/>
      <c r="R11"/>
      <c r="S11"/>
      <c r="T11"/>
      <c r="U11"/>
    </row>
    <row r="12" spans="2:21">
      <c r="B12" s="26" t="s">
        <v>519</v>
      </c>
      <c r="C12" s="28">
        <v>2.0750000000000002</v>
      </c>
      <c r="E12" s="26" t="s">
        <v>1258</v>
      </c>
      <c r="F12" s="28" t="s">
        <v>1262</v>
      </c>
      <c r="H12" s="152" t="s">
        <v>522</v>
      </c>
      <c r="I12" s="153">
        <v>0.253</v>
      </c>
      <c r="J12" s="153">
        <v>0.16600000000000001</v>
      </c>
      <c r="K12" s="154">
        <v>0.19500000000000001</v>
      </c>
      <c r="L12" s="153">
        <v>0.3</v>
      </c>
      <c r="M12" s="153">
        <v>0.16600000000000001</v>
      </c>
      <c r="N12" s="154">
        <v>0.16600000000000001</v>
      </c>
      <c r="Q12"/>
      <c r="R12"/>
      <c r="S12"/>
      <c r="T12"/>
      <c r="U12"/>
    </row>
    <row r="13" spans="2:21" ht="13.5" thickBot="1">
      <c r="B13" s="31" t="s">
        <v>520</v>
      </c>
      <c r="C13" s="32">
        <v>2.1625000000000001</v>
      </c>
      <c r="E13" s="26" t="s">
        <v>1404</v>
      </c>
      <c r="F13" s="28" t="s">
        <v>1404</v>
      </c>
      <c r="H13" s="183" t="s">
        <v>1345</v>
      </c>
      <c r="I13" s="201">
        <f>IF(Meal.post=VALUE(RIGHT($H13,1)),I$12,I$17)</f>
        <v>0.124</v>
      </c>
      <c r="J13" s="184">
        <v>0.16600000000000001</v>
      </c>
      <c r="K13" s="185">
        <v>0.19500000000000001</v>
      </c>
      <c r="L13" s="153">
        <v>8.3000000000000004E-2</v>
      </c>
      <c r="M13" s="153">
        <v>0.16600000000000001</v>
      </c>
      <c r="N13" s="154">
        <v>0.16600000000000001</v>
      </c>
      <c r="Q13"/>
      <c r="R13"/>
      <c r="S13"/>
      <c r="T13"/>
      <c r="U13"/>
    </row>
    <row r="14" spans="2:21" ht="13.5" thickTop="1">
      <c r="B14" s="33"/>
      <c r="C14" s="33"/>
      <c r="E14" s="26" t="s">
        <v>1259</v>
      </c>
      <c r="F14" s="28" t="s">
        <v>1259</v>
      </c>
      <c r="H14" s="152" t="s">
        <v>523</v>
      </c>
      <c r="I14" s="201">
        <f>IF(Meal.post=VALUE(RIGHT($H14,1)),I$12,I$17)</f>
        <v>0.124</v>
      </c>
      <c r="J14" s="184">
        <v>0.16600000000000001</v>
      </c>
      <c r="K14" s="185">
        <v>0.19500000000000001</v>
      </c>
      <c r="L14" s="153">
        <v>0.25</v>
      </c>
      <c r="M14" s="153">
        <v>0.16600000000000001</v>
      </c>
      <c r="N14" s="154">
        <v>0.16600000000000001</v>
      </c>
      <c r="Q14"/>
      <c r="R14"/>
      <c r="S14"/>
      <c r="T14"/>
      <c r="U14"/>
    </row>
    <row r="15" spans="2:21">
      <c r="B15" s="33"/>
      <c r="C15" s="33"/>
      <c r="E15" s="26" t="s">
        <v>1255</v>
      </c>
      <c r="F15" s="28" t="s">
        <v>1255</v>
      </c>
      <c r="H15" s="152" t="s">
        <v>524</v>
      </c>
      <c r="I15" s="201">
        <f>IF(Meal.post=VALUE(RIGHT($H15,1)),I$12,I$17)</f>
        <v>0.124</v>
      </c>
      <c r="J15" s="184">
        <v>0.16600000000000001</v>
      </c>
      <c r="K15" s="185">
        <v>0.19500000000000001</v>
      </c>
      <c r="L15" s="153">
        <v>8.3000000000000004E-2</v>
      </c>
      <c r="M15" s="153">
        <v>0.16600000000000001</v>
      </c>
      <c r="N15" s="154">
        <v>0.16600000000000001</v>
      </c>
      <c r="Q15"/>
      <c r="R15"/>
      <c r="S15"/>
      <c r="T15"/>
      <c r="U15"/>
    </row>
    <row r="16" spans="2:21">
      <c r="B16" s="33"/>
      <c r="C16" s="33"/>
      <c r="E16" s="26" t="s">
        <v>32</v>
      </c>
      <c r="F16" s="28" t="s">
        <v>1408</v>
      </c>
      <c r="H16" s="152" t="s">
        <v>525</v>
      </c>
      <c r="I16" s="201">
        <f>IF(Meal.post=VALUE(RIGHT($H16,1)),I$12,I$17)</f>
        <v>0.124</v>
      </c>
      <c r="J16" s="184">
        <v>0.16600000000000001</v>
      </c>
      <c r="K16" s="185">
        <v>0.19500000000000001</v>
      </c>
      <c r="L16" s="153">
        <v>0.2</v>
      </c>
      <c r="M16" s="153">
        <v>0.16600000000000001</v>
      </c>
      <c r="N16" s="154">
        <v>0.16600000000000001</v>
      </c>
      <c r="Q16"/>
      <c r="R16"/>
      <c r="S16"/>
      <c r="T16"/>
      <c r="U16"/>
    </row>
    <row r="17" spans="1:22" ht="13.5" thickBot="1">
      <c r="B17" s="33"/>
      <c r="C17" s="33"/>
      <c r="E17" s="26" t="s">
        <v>1254</v>
      </c>
      <c r="F17" s="28" t="s">
        <v>1266</v>
      </c>
      <c r="H17" s="155" t="s">
        <v>526</v>
      </c>
      <c r="I17" s="156">
        <v>0.124</v>
      </c>
      <c r="J17" s="156">
        <v>0.16600000000000001</v>
      </c>
      <c r="K17" s="157">
        <v>0.19500000000000001</v>
      </c>
      <c r="L17" s="156">
        <v>8.3000000000000004E-2</v>
      </c>
      <c r="M17" s="156">
        <v>0.16600000000000001</v>
      </c>
      <c r="N17" s="157">
        <v>0.16600000000000001</v>
      </c>
      <c r="Q17"/>
      <c r="R17"/>
      <c r="S17"/>
      <c r="T17"/>
      <c r="U17"/>
    </row>
    <row r="18" spans="1:22">
      <c r="B18" s="33"/>
      <c r="C18" s="33"/>
      <c r="E18" s="26" t="s">
        <v>1257</v>
      </c>
      <c r="F18" s="28" t="s">
        <v>1267</v>
      </c>
      <c r="Q18"/>
      <c r="R18"/>
      <c r="S18"/>
      <c r="T18"/>
      <c r="U18"/>
    </row>
    <row r="19" spans="1:22" ht="13.5" thickBot="1">
      <c r="B19" s="33"/>
      <c r="C19" s="33"/>
      <c r="E19" s="31" t="s">
        <v>34</v>
      </c>
      <c r="F19" s="32" t="s">
        <v>34</v>
      </c>
      <c r="Q19"/>
      <c r="R19"/>
      <c r="S19"/>
      <c r="T19"/>
      <c r="U19"/>
    </row>
    <row r="20" spans="1:22" ht="12.6" customHeight="1" thickTop="1" thickBot="1">
      <c r="B20" s="33"/>
      <c r="C20" s="33"/>
      <c r="E20" s="27"/>
      <c r="F20" s="27"/>
      <c r="G20" s="27"/>
      <c r="H20" s="27"/>
      <c r="I20" s="27"/>
      <c r="O20"/>
      <c r="P20"/>
      <c r="Q20"/>
      <c r="R20"/>
      <c r="S20"/>
      <c r="T20"/>
      <c r="U20"/>
    </row>
    <row r="21" spans="1:22" ht="19.5" thickTop="1" thickBot="1">
      <c r="B21" s="66"/>
      <c r="C21" s="67" t="s">
        <v>1474</v>
      </c>
      <c r="D21" s="68" t="s">
        <v>99</v>
      </c>
      <c r="E21" s="67" t="s">
        <v>1475</v>
      </c>
      <c r="F21" s="67" t="s">
        <v>1476</v>
      </c>
      <c r="G21" s="67" t="s">
        <v>1477</v>
      </c>
      <c r="H21" s="68" t="s">
        <v>918</v>
      </c>
      <c r="I21" s="68" t="s">
        <v>919</v>
      </c>
      <c r="J21" s="67" t="s">
        <v>467</v>
      </c>
      <c r="K21" s="67" t="s">
        <v>203</v>
      </c>
      <c r="L21" s="108" t="s">
        <v>511</v>
      </c>
      <c r="R21"/>
      <c r="S21"/>
      <c r="T21"/>
      <c r="U21"/>
      <c r="V21"/>
    </row>
    <row r="22" spans="1:22" ht="18.75" thickTop="1">
      <c r="A22" s="2"/>
      <c r="B22" s="66" t="s">
        <v>28</v>
      </c>
      <c r="C22" s="67" t="s">
        <v>1474</v>
      </c>
      <c r="D22" s="68" t="s">
        <v>99</v>
      </c>
      <c r="E22" s="67" t="s">
        <v>1475</v>
      </c>
      <c r="F22" s="67" t="s">
        <v>1476</v>
      </c>
      <c r="G22" s="67" t="s">
        <v>1477</v>
      </c>
      <c r="H22" s="68" t="s">
        <v>918</v>
      </c>
      <c r="I22" s="68" t="s">
        <v>919</v>
      </c>
      <c r="J22" s="67" t="s">
        <v>467</v>
      </c>
      <c r="K22" s="67" t="s">
        <v>203</v>
      </c>
      <c r="L22" s="69"/>
      <c r="N22" s="107" t="s">
        <v>918</v>
      </c>
      <c r="O22" s="108" t="s">
        <v>1272</v>
      </c>
      <c r="R22"/>
      <c r="S22"/>
      <c r="T22"/>
      <c r="U22"/>
      <c r="V22"/>
    </row>
    <row r="23" spans="1:22">
      <c r="A23" s="2"/>
      <c r="B23" s="61" t="s">
        <v>381</v>
      </c>
      <c r="C23" s="59">
        <v>72</v>
      </c>
      <c r="D23" s="59">
        <v>12.39</v>
      </c>
      <c r="E23" s="59">
        <v>1.02</v>
      </c>
      <c r="F23" s="59">
        <v>2.72</v>
      </c>
      <c r="G23" s="59">
        <v>0</v>
      </c>
      <c r="H23" s="101" t="s">
        <v>920</v>
      </c>
      <c r="I23" s="101">
        <v>113</v>
      </c>
      <c r="J23" s="109">
        <f t="shared" ref="J23:J62" si="0">I23*VLOOKUP(H23,Fractional,2,FALSE)</f>
        <v>28.25</v>
      </c>
      <c r="K23" s="171">
        <v>226</v>
      </c>
      <c r="L23" s="131" t="s">
        <v>512</v>
      </c>
      <c r="M23" s="170"/>
      <c r="N23" s="61" t="s">
        <v>920</v>
      </c>
      <c r="O23" s="179">
        <v>0.25</v>
      </c>
      <c r="R23"/>
      <c r="S23"/>
      <c r="T23"/>
      <c r="U23"/>
      <c r="V23"/>
    </row>
    <row r="24" spans="1:22">
      <c r="A24" s="2"/>
      <c r="B24" s="61" t="s">
        <v>382</v>
      </c>
      <c r="C24" s="59">
        <v>90</v>
      </c>
      <c r="D24" s="59">
        <v>13.74</v>
      </c>
      <c r="E24" s="59">
        <v>1.93</v>
      </c>
      <c r="F24" s="59">
        <v>3.63</v>
      </c>
      <c r="G24" s="59">
        <v>0</v>
      </c>
      <c r="H24" s="59" t="s">
        <v>920</v>
      </c>
      <c r="I24" s="59">
        <v>113</v>
      </c>
      <c r="J24" s="109">
        <f t="shared" si="0"/>
        <v>28.25</v>
      </c>
      <c r="K24" s="172">
        <v>226</v>
      </c>
      <c r="L24" s="131" t="s">
        <v>512</v>
      </c>
      <c r="M24" s="170"/>
      <c r="N24" s="61" t="s">
        <v>921</v>
      </c>
      <c r="O24" s="179">
        <v>1</v>
      </c>
      <c r="R24"/>
      <c r="S24"/>
      <c r="T24"/>
      <c r="U24"/>
      <c r="V24"/>
    </row>
    <row r="25" spans="1:22">
      <c r="A25" s="2"/>
      <c r="B25" s="61" t="s">
        <v>174</v>
      </c>
      <c r="C25" s="59">
        <v>138</v>
      </c>
      <c r="D25" s="59">
        <v>11.39</v>
      </c>
      <c r="E25" s="59">
        <v>7.91</v>
      </c>
      <c r="F25" s="59">
        <v>5.14</v>
      </c>
      <c r="G25" s="59">
        <v>0</v>
      </c>
      <c r="H25" s="59" t="s">
        <v>920</v>
      </c>
      <c r="I25" s="59">
        <v>123</v>
      </c>
      <c r="J25" s="109">
        <f t="shared" si="0"/>
        <v>30.75</v>
      </c>
      <c r="K25" s="172">
        <v>246</v>
      </c>
      <c r="L25" s="131" t="s">
        <v>512</v>
      </c>
      <c r="M25" s="170"/>
      <c r="N25" s="61" t="s">
        <v>101</v>
      </c>
      <c r="O25" s="179">
        <v>0.125</v>
      </c>
      <c r="R25"/>
      <c r="S25"/>
      <c r="T25"/>
      <c r="U25"/>
      <c r="V25"/>
    </row>
    <row r="26" spans="1:22">
      <c r="A26" s="2"/>
      <c r="B26" s="61" t="s">
        <v>175</v>
      </c>
      <c r="C26" s="59">
        <v>48</v>
      </c>
      <c r="D26" s="59">
        <v>10.9</v>
      </c>
      <c r="E26" s="59">
        <v>0.17</v>
      </c>
      <c r="F26" s="59">
        <v>0.73</v>
      </c>
      <c r="G26" s="59">
        <v>0</v>
      </c>
      <c r="H26" s="59" t="s">
        <v>920</v>
      </c>
      <c r="I26" s="59">
        <v>122</v>
      </c>
      <c r="J26" s="109">
        <f t="shared" si="0"/>
        <v>30.5</v>
      </c>
      <c r="K26" s="172">
        <v>244</v>
      </c>
      <c r="L26" s="131" t="s">
        <v>512</v>
      </c>
      <c r="M26" s="170"/>
      <c r="N26" s="61" t="s">
        <v>1447</v>
      </c>
      <c r="O26" s="179">
        <v>0.125</v>
      </c>
      <c r="R26"/>
      <c r="S26"/>
      <c r="T26"/>
      <c r="U26"/>
      <c r="V26"/>
    </row>
    <row r="27" spans="1:22">
      <c r="A27" s="2"/>
      <c r="B27" s="61" t="s">
        <v>176</v>
      </c>
      <c r="C27" s="59">
        <v>143</v>
      </c>
      <c r="D27" s="59">
        <v>12.58</v>
      </c>
      <c r="E27" s="59">
        <v>9.94</v>
      </c>
      <c r="F27" s="59">
        <v>0.77</v>
      </c>
      <c r="G27" s="59">
        <v>0</v>
      </c>
      <c r="H27" s="59" t="s">
        <v>921</v>
      </c>
      <c r="I27" s="59">
        <v>56</v>
      </c>
      <c r="J27" s="109">
        <f t="shared" si="0"/>
        <v>56</v>
      </c>
      <c r="K27" s="172">
        <v>56</v>
      </c>
      <c r="L27" s="131" t="s">
        <v>535</v>
      </c>
      <c r="M27" s="170"/>
      <c r="N27" s="61" t="s">
        <v>102</v>
      </c>
      <c r="O27" s="180">
        <v>0.5</v>
      </c>
      <c r="R27"/>
      <c r="S27"/>
      <c r="T27"/>
      <c r="U27"/>
      <c r="V27"/>
    </row>
    <row r="28" spans="1:22">
      <c r="A28" s="2"/>
      <c r="B28" s="61" t="s">
        <v>178</v>
      </c>
      <c r="C28" s="59">
        <v>42</v>
      </c>
      <c r="D28" s="59">
        <v>3.37</v>
      </c>
      <c r="E28" s="59">
        <v>0.97</v>
      </c>
      <c r="F28" s="59">
        <v>4.99</v>
      </c>
      <c r="G28" s="59">
        <v>0</v>
      </c>
      <c r="H28" s="59" t="s">
        <v>101</v>
      </c>
      <c r="I28" s="59">
        <v>244</v>
      </c>
      <c r="J28" s="109">
        <f t="shared" si="0"/>
        <v>30.5</v>
      </c>
      <c r="K28" s="172">
        <v>244</v>
      </c>
      <c r="L28" s="131" t="s">
        <v>512</v>
      </c>
      <c r="M28" s="170"/>
      <c r="N28" s="61" t="s">
        <v>105</v>
      </c>
      <c r="O28" s="179">
        <v>0.5</v>
      </c>
    </row>
    <row r="29" spans="1:22">
      <c r="A29" s="2"/>
      <c r="B29" s="61" t="s">
        <v>179</v>
      </c>
      <c r="C29" s="59">
        <v>34</v>
      </c>
      <c r="D29" s="59">
        <v>3.37</v>
      </c>
      <c r="E29" s="59">
        <v>0.08</v>
      </c>
      <c r="F29" s="59">
        <v>4.96</v>
      </c>
      <c r="G29" s="59">
        <v>0</v>
      </c>
      <c r="H29" s="59" t="s">
        <v>101</v>
      </c>
      <c r="I29" s="59">
        <v>245</v>
      </c>
      <c r="J29" s="109">
        <f t="shared" si="0"/>
        <v>30.625</v>
      </c>
      <c r="K29" s="172">
        <v>245</v>
      </c>
      <c r="L29" s="131" t="s">
        <v>512</v>
      </c>
      <c r="M29" s="170"/>
      <c r="N29" s="61" t="s">
        <v>109</v>
      </c>
      <c r="O29" s="179">
        <v>0.25</v>
      </c>
    </row>
    <row r="30" spans="1:22">
      <c r="A30" s="2"/>
      <c r="B30" s="61" t="s">
        <v>180</v>
      </c>
      <c r="C30" s="59">
        <v>56</v>
      </c>
      <c r="D30" s="59">
        <v>5.73</v>
      </c>
      <c r="E30" s="59">
        <v>0.18</v>
      </c>
      <c r="F30" s="59">
        <v>7.68</v>
      </c>
      <c r="G30" s="59">
        <v>0</v>
      </c>
      <c r="H30" s="59" t="s">
        <v>1447</v>
      </c>
      <c r="I30" s="59">
        <v>245</v>
      </c>
      <c r="J30" s="109">
        <f t="shared" si="0"/>
        <v>30.625</v>
      </c>
      <c r="K30" s="172">
        <v>245</v>
      </c>
      <c r="L30" s="131" t="s">
        <v>512</v>
      </c>
      <c r="M30" s="170"/>
      <c r="N30" s="61" t="s">
        <v>922</v>
      </c>
      <c r="O30" s="179">
        <v>0.5</v>
      </c>
    </row>
    <row r="31" spans="1:22">
      <c r="A31" s="2"/>
      <c r="B31" s="58" t="s">
        <v>100</v>
      </c>
      <c r="C31" s="59">
        <v>717</v>
      </c>
      <c r="D31" s="59">
        <v>0.85</v>
      </c>
      <c r="E31" s="59">
        <v>81.11</v>
      </c>
      <c r="F31" s="59">
        <v>0.06</v>
      </c>
      <c r="G31" s="59">
        <v>0</v>
      </c>
      <c r="H31" s="59" t="s">
        <v>102</v>
      </c>
      <c r="I31" s="59">
        <v>14</v>
      </c>
      <c r="J31" s="109">
        <f t="shared" si="0"/>
        <v>7</v>
      </c>
      <c r="K31" s="172">
        <v>14</v>
      </c>
      <c r="L31" s="131" t="s">
        <v>536</v>
      </c>
      <c r="M31" s="170"/>
      <c r="N31" s="61" t="s">
        <v>104</v>
      </c>
      <c r="O31" s="179">
        <v>0.5</v>
      </c>
    </row>
    <row r="32" spans="1:22">
      <c r="A32" s="2"/>
      <c r="B32" s="61" t="s">
        <v>1450</v>
      </c>
      <c r="C32" s="59">
        <v>717</v>
      </c>
      <c r="D32" s="59">
        <v>0.85</v>
      </c>
      <c r="E32" s="59">
        <v>81.11</v>
      </c>
      <c r="F32" s="59">
        <v>0.06</v>
      </c>
      <c r="G32" s="59">
        <v>0</v>
      </c>
      <c r="H32" s="59" t="s">
        <v>102</v>
      </c>
      <c r="I32" s="59">
        <v>14</v>
      </c>
      <c r="J32" s="109">
        <f t="shared" si="0"/>
        <v>7</v>
      </c>
      <c r="K32" s="172">
        <v>14</v>
      </c>
      <c r="L32" s="131" t="s">
        <v>536</v>
      </c>
      <c r="M32" s="170"/>
      <c r="N32" s="61" t="s">
        <v>106</v>
      </c>
      <c r="O32" s="179">
        <v>0.25</v>
      </c>
    </row>
    <row r="33" spans="1:15">
      <c r="A33" s="2"/>
      <c r="B33" s="61" t="s">
        <v>103</v>
      </c>
      <c r="C33" s="59">
        <v>353</v>
      </c>
      <c r="D33" s="59">
        <v>21.4</v>
      </c>
      <c r="E33" s="59">
        <v>28.74</v>
      </c>
      <c r="F33" s="59">
        <v>2.34</v>
      </c>
      <c r="G33" s="59">
        <v>0</v>
      </c>
      <c r="H33" s="59" t="s">
        <v>105</v>
      </c>
      <c r="I33" s="59">
        <v>17</v>
      </c>
      <c r="J33" s="109">
        <f t="shared" si="0"/>
        <v>8.5</v>
      </c>
      <c r="K33" s="172">
        <v>17</v>
      </c>
      <c r="L33" s="131" t="s">
        <v>204</v>
      </c>
      <c r="M33" s="170"/>
      <c r="N33" s="61" t="s">
        <v>1437</v>
      </c>
      <c r="O33" s="179">
        <v>1</v>
      </c>
    </row>
    <row r="34" spans="1:15">
      <c r="A34" s="2"/>
      <c r="B34" s="61" t="s">
        <v>108</v>
      </c>
      <c r="C34" s="59">
        <v>334</v>
      </c>
      <c r="D34" s="59">
        <v>20.75</v>
      </c>
      <c r="E34" s="59">
        <v>27.68</v>
      </c>
      <c r="F34" s="59">
        <v>0.45</v>
      </c>
      <c r="G34" s="59">
        <v>0</v>
      </c>
      <c r="H34" s="59" t="s">
        <v>109</v>
      </c>
      <c r="I34" s="59">
        <v>144</v>
      </c>
      <c r="J34" s="109">
        <f t="shared" si="0"/>
        <v>36</v>
      </c>
      <c r="K34" s="172">
        <v>144</v>
      </c>
      <c r="L34" s="60" t="s">
        <v>512</v>
      </c>
      <c r="M34" s="170"/>
      <c r="N34" s="61" t="s">
        <v>1459</v>
      </c>
      <c r="O34" s="180">
        <v>0.5</v>
      </c>
    </row>
    <row r="35" spans="1:15">
      <c r="A35" s="2"/>
      <c r="B35" s="61" t="s">
        <v>1421</v>
      </c>
      <c r="C35" s="59">
        <v>403</v>
      </c>
      <c r="D35" s="59">
        <v>24.9</v>
      </c>
      <c r="E35" s="59">
        <v>33.14</v>
      </c>
      <c r="F35" s="59">
        <v>1.28</v>
      </c>
      <c r="G35" s="59">
        <v>0</v>
      </c>
      <c r="H35" s="59" t="s">
        <v>922</v>
      </c>
      <c r="I35" s="59">
        <v>30</v>
      </c>
      <c r="J35" s="109">
        <f t="shared" si="0"/>
        <v>15</v>
      </c>
      <c r="K35" s="172">
        <v>24</v>
      </c>
      <c r="L35" s="131" t="s">
        <v>205</v>
      </c>
      <c r="M35" s="170"/>
      <c r="N35" s="61" t="s">
        <v>1445</v>
      </c>
      <c r="O35" s="179">
        <v>1</v>
      </c>
    </row>
    <row r="36" spans="1:15">
      <c r="A36" s="2"/>
      <c r="B36" s="61" t="s">
        <v>1422</v>
      </c>
      <c r="C36" s="59">
        <v>387</v>
      </c>
      <c r="D36" s="59">
        <v>23.37</v>
      </c>
      <c r="E36" s="59">
        <v>30.6</v>
      </c>
      <c r="F36" s="59">
        <v>4.78</v>
      </c>
      <c r="G36" s="59">
        <v>0</v>
      </c>
      <c r="H36" s="59" t="s">
        <v>104</v>
      </c>
      <c r="I36" s="59">
        <v>28</v>
      </c>
      <c r="J36" s="110">
        <f t="shared" si="0"/>
        <v>14</v>
      </c>
      <c r="K36" s="172">
        <v>28</v>
      </c>
      <c r="L36" s="60" t="s">
        <v>537</v>
      </c>
      <c r="M36" s="170"/>
      <c r="N36" s="61" t="s">
        <v>923</v>
      </c>
      <c r="O36" s="179">
        <v>0.1</v>
      </c>
    </row>
    <row r="37" spans="1:15">
      <c r="A37" s="2"/>
      <c r="B37" s="61" t="s">
        <v>1423</v>
      </c>
      <c r="C37" s="59">
        <v>394</v>
      </c>
      <c r="D37" s="59">
        <v>23.76</v>
      </c>
      <c r="E37" s="59">
        <v>32.11</v>
      </c>
      <c r="F37" s="59">
        <v>2.57</v>
      </c>
      <c r="G37" s="59">
        <v>0</v>
      </c>
      <c r="H37" s="59" t="s">
        <v>106</v>
      </c>
      <c r="I37" s="59">
        <v>132</v>
      </c>
      <c r="J37" s="109">
        <f t="shared" si="0"/>
        <v>33</v>
      </c>
      <c r="K37" s="172">
        <v>132</v>
      </c>
      <c r="L37" s="60" t="s">
        <v>512</v>
      </c>
      <c r="M37" s="170"/>
      <c r="N37" s="61" t="s">
        <v>924</v>
      </c>
      <c r="O37" s="179">
        <v>0.5</v>
      </c>
    </row>
    <row r="38" spans="1:15">
      <c r="A38" s="2"/>
      <c r="B38" s="61" t="s">
        <v>1425</v>
      </c>
      <c r="C38" s="59">
        <v>349</v>
      </c>
      <c r="D38" s="59">
        <v>7.55</v>
      </c>
      <c r="E38" s="59">
        <v>34.869999999999997</v>
      </c>
      <c r="F38" s="59">
        <v>2.66</v>
      </c>
      <c r="G38" s="59">
        <v>0</v>
      </c>
      <c r="H38" s="59" t="s">
        <v>102</v>
      </c>
      <c r="I38" s="59">
        <v>14</v>
      </c>
      <c r="J38" s="109">
        <f t="shared" si="0"/>
        <v>7</v>
      </c>
      <c r="K38" s="172">
        <v>14</v>
      </c>
      <c r="L38" s="60" t="s">
        <v>536</v>
      </c>
      <c r="M38" s="170"/>
      <c r="N38" s="61" t="s">
        <v>925</v>
      </c>
      <c r="O38" s="179">
        <v>0.5</v>
      </c>
    </row>
    <row r="39" spans="1:15">
      <c r="A39" s="2"/>
      <c r="B39" s="61" t="s">
        <v>1426</v>
      </c>
      <c r="C39" s="59">
        <v>264</v>
      </c>
      <c r="D39" s="59">
        <v>14.21</v>
      </c>
      <c r="E39" s="59">
        <v>21.28</v>
      </c>
      <c r="F39" s="59">
        <v>4.09</v>
      </c>
      <c r="G39" s="59">
        <v>0</v>
      </c>
      <c r="H39" s="59" t="s">
        <v>104</v>
      </c>
      <c r="I39" s="59">
        <v>28</v>
      </c>
      <c r="J39" s="109">
        <f t="shared" si="0"/>
        <v>14</v>
      </c>
      <c r="K39" s="172">
        <v>28</v>
      </c>
      <c r="L39" s="60" t="s">
        <v>537</v>
      </c>
      <c r="M39" s="170"/>
      <c r="N39" s="61" t="s">
        <v>926</v>
      </c>
      <c r="O39" s="179">
        <v>0.25</v>
      </c>
    </row>
    <row r="40" spans="1:15">
      <c r="A40" s="2"/>
      <c r="B40" s="61" t="s">
        <v>1427</v>
      </c>
      <c r="C40" s="59">
        <v>356</v>
      </c>
      <c r="D40" s="59">
        <v>24.94</v>
      </c>
      <c r="E40" s="59">
        <v>27.44</v>
      </c>
      <c r="F40" s="59">
        <v>2.2200000000000002</v>
      </c>
      <c r="G40" s="59">
        <v>0</v>
      </c>
      <c r="H40" s="59" t="s">
        <v>104</v>
      </c>
      <c r="I40" s="59">
        <v>28</v>
      </c>
      <c r="J40" s="109">
        <f t="shared" si="0"/>
        <v>14</v>
      </c>
      <c r="K40" s="172">
        <v>28</v>
      </c>
      <c r="L40" s="60" t="s">
        <v>537</v>
      </c>
      <c r="M40" s="170"/>
      <c r="N40" s="61" t="s">
        <v>927</v>
      </c>
      <c r="O40" s="179">
        <v>0.5</v>
      </c>
    </row>
    <row r="41" spans="1:15">
      <c r="A41" s="2"/>
      <c r="B41" s="61" t="s">
        <v>1428</v>
      </c>
      <c r="C41" s="59">
        <v>413</v>
      </c>
      <c r="D41" s="59">
        <v>29.81</v>
      </c>
      <c r="E41" s="59">
        <v>32.340000000000003</v>
      </c>
      <c r="F41" s="59">
        <v>0.36</v>
      </c>
      <c r="G41" s="59">
        <v>0</v>
      </c>
      <c r="H41" s="59" t="s">
        <v>106</v>
      </c>
      <c r="I41" s="59">
        <v>132</v>
      </c>
      <c r="J41" s="109">
        <f t="shared" si="0"/>
        <v>33</v>
      </c>
      <c r="K41" s="172">
        <v>132</v>
      </c>
      <c r="L41" s="60" t="s">
        <v>512</v>
      </c>
      <c r="M41" s="170"/>
      <c r="N41" s="61" t="s">
        <v>928</v>
      </c>
      <c r="O41" s="179">
        <v>0.5</v>
      </c>
    </row>
    <row r="42" spans="1:15">
      <c r="A42" s="2"/>
      <c r="B42" s="61" t="s">
        <v>1429</v>
      </c>
      <c r="C42" s="59">
        <v>373</v>
      </c>
      <c r="D42" s="59">
        <v>24.48</v>
      </c>
      <c r="E42" s="59">
        <v>30.28</v>
      </c>
      <c r="F42" s="59">
        <v>0.68</v>
      </c>
      <c r="G42" s="59">
        <v>0</v>
      </c>
      <c r="H42" s="59" t="s">
        <v>106</v>
      </c>
      <c r="I42" s="59">
        <v>132</v>
      </c>
      <c r="J42" s="109">
        <f t="shared" si="0"/>
        <v>33</v>
      </c>
      <c r="K42" s="172">
        <v>132</v>
      </c>
      <c r="L42" s="60" t="s">
        <v>512</v>
      </c>
      <c r="M42" s="170"/>
      <c r="N42" s="61" t="s">
        <v>929</v>
      </c>
      <c r="O42" s="179">
        <v>0.5</v>
      </c>
    </row>
    <row r="43" spans="1:15">
      <c r="A43" s="2"/>
      <c r="B43" s="61" t="s">
        <v>383</v>
      </c>
      <c r="C43" s="59">
        <v>254</v>
      </c>
      <c r="D43" s="59">
        <v>24.26</v>
      </c>
      <c r="E43" s="59">
        <v>15.92</v>
      </c>
      <c r="F43" s="59">
        <v>2.77</v>
      </c>
      <c r="G43" s="59">
        <v>0</v>
      </c>
      <c r="H43" s="59" t="s">
        <v>104</v>
      </c>
      <c r="I43" s="59">
        <v>28</v>
      </c>
      <c r="J43" s="110">
        <f t="shared" si="0"/>
        <v>14</v>
      </c>
      <c r="K43" s="172">
        <v>28</v>
      </c>
      <c r="L43" s="60" t="s">
        <v>537</v>
      </c>
      <c r="M43" s="170"/>
      <c r="N43" s="61" t="s">
        <v>930</v>
      </c>
      <c r="O43" s="179">
        <v>0.5</v>
      </c>
    </row>
    <row r="44" spans="1:15">
      <c r="A44" s="2"/>
      <c r="B44" s="61" t="s">
        <v>1430</v>
      </c>
      <c r="C44" s="59">
        <v>431</v>
      </c>
      <c r="D44" s="59">
        <v>38.46</v>
      </c>
      <c r="E44" s="59">
        <v>28.61</v>
      </c>
      <c r="F44" s="59">
        <v>4.0599999999999996</v>
      </c>
      <c r="G44" s="59">
        <v>0</v>
      </c>
      <c r="H44" s="59" t="s">
        <v>102</v>
      </c>
      <c r="I44" s="59">
        <v>5</v>
      </c>
      <c r="J44" s="109">
        <f t="shared" si="0"/>
        <v>2.5</v>
      </c>
      <c r="K44" s="172">
        <v>5</v>
      </c>
      <c r="L44" s="60" t="s">
        <v>536</v>
      </c>
      <c r="M44" s="170"/>
      <c r="N44" s="61" t="s">
        <v>931</v>
      </c>
      <c r="O44" s="180">
        <v>0.5</v>
      </c>
    </row>
    <row r="45" spans="1:15">
      <c r="A45" s="2"/>
      <c r="B45" s="61" t="s">
        <v>1431</v>
      </c>
      <c r="C45" s="59">
        <v>392</v>
      </c>
      <c r="D45" s="59">
        <v>35.75</v>
      </c>
      <c r="E45" s="59">
        <v>25.83</v>
      </c>
      <c r="F45" s="59">
        <v>3.22</v>
      </c>
      <c r="G45" s="59">
        <v>0</v>
      </c>
      <c r="H45" s="59" t="s">
        <v>105</v>
      </c>
      <c r="I45" s="59">
        <v>10</v>
      </c>
      <c r="J45" s="109">
        <f t="shared" si="0"/>
        <v>5</v>
      </c>
      <c r="K45" s="172">
        <v>10</v>
      </c>
      <c r="L45" s="60" t="s">
        <v>205</v>
      </c>
      <c r="M45" s="170"/>
      <c r="N45" s="61" t="s">
        <v>932</v>
      </c>
      <c r="O45" s="179">
        <v>1</v>
      </c>
    </row>
    <row r="46" spans="1:15">
      <c r="A46" s="2"/>
      <c r="B46" s="61" t="s">
        <v>1451</v>
      </c>
      <c r="C46" s="59">
        <v>415</v>
      </c>
      <c r="D46" s="59">
        <v>37.86</v>
      </c>
      <c r="E46" s="59">
        <v>27.34</v>
      </c>
      <c r="F46" s="59">
        <v>3.41</v>
      </c>
      <c r="G46" s="59">
        <v>0</v>
      </c>
      <c r="H46" s="59" t="s">
        <v>102</v>
      </c>
      <c r="I46" s="59">
        <v>5</v>
      </c>
      <c r="J46" s="110">
        <f t="shared" si="0"/>
        <v>2.5</v>
      </c>
      <c r="K46" s="172">
        <v>5</v>
      </c>
      <c r="L46" s="60" t="s">
        <v>536</v>
      </c>
      <c r="M46" s="170"/>
      <c r="N46" s="61" t="s">
        <v>558</v>
      </c>
      <c r="O46" s="179">
        <v>1</v>
      </c>
    </row>
    <row r="47" spans="1:15">
      <c r="A47" s="2"/>
      <c r="B47" s="61" t="s">
        <v>1432</v>
      </c>
      <c r="C47" s="59">
        <v>351</v>
      </c>
      <c r="D47" s="59">
        <v>25.58</v>
      </c>
      <c r="E47" s="59">
        <v>26.62</v>
      </c>
      <c r="F47" s="59">
        <v>2.14</v>
      </c>
      <c r="G47" s="59">
        <v>0</v>
      </c>
      <c r="H47" s="59" t="s">
        <v>104</v>
      </c>
      <c r="I47" s="59">
        <v>28</v>
      </c>
      <c r="J47" s="109">
        <f t="shared" si="0"/>
        <v>14</v>
      </c>
      <c r="K47" s="172">
        <v>28</v>
      </c>
      <c r="L47" s="60" t="s">
        <v>537</v>
      </c>
      <c r="M47" s="170"/>
      <c r="N47" s="61" t="s">
        <v>154</v>
      </c>
      <c r="O47" s="179">
        <v>0.25</v>
      </c>
    </row>
    <row r="48" spans="1:15">
      <c r="A48" s="2"/>
      <c r="B48" s="61" t="s">
        <v>1433</v>
      </c>
      <c r="C48" s="59">
        <v>387</v>
      </c>
      <c r="D48" s="59">
        <v>31.8</v>
      </c>
      <c r="E48" s="59">
        <v>26.94</v>
      </c>
      <c r="F48" s="59">
        <v>3.63</v>
      </c>
      <c r="G48" s="59">
        <v>0</v>
      </c>
      <c r="H48" s="59" t="s">
        <v>104</v>
      </c>
      <c r="I48" s="59">
        <v>28</v>
      </c>
      <c r="J48" s="109">
        <f t="shared" si="0"/>
        <v>14</v>
      </c>
      <c r="K48" s="172">
        <v>28</v>
      </c>
      <c r="L48" s="60" t="s">
        <v>537</v>
      </c>
      <c r="M48" s="170"/>
      <c r="N48" s="61" t="s">
        <v>933</v>
      </c>
      <c r="O48" s="180">
        <v>0.5</v>
      </c>
    </row>
    <row r="49" spans="1:15">
      <c r="A49" s="2"/>
      <c r="B49" s="61" t="s">
        <v>1434</v>
      </c>
      <c r="C49" s="59">
        <v>380</v>
      </c>
      <c r="D49" s="59">
        <v>26.93</v>
      </c>
      <c r="E49" s="59">
        <v>27.8</v>
      </c>
      <c r="F49" s="59">
        <v>5.38</v>
      </c>
      <c r="G49" s="59">
        <v>0</v>
      </c>
      <c r="H49" s="59" t="s">
        <v>922</v>
      </c>
      <c r="I49" s="59">
        <v>30</v>
      </c>
      <c r="J49" s="109">
        <f t="shared" si="0"/>
        <v>15</v>
      </c>
      <c r="K49" s="172">
        <v>24</v>
      </c>
      <c r="L49" s="131" t="s">
        <v>205</v>
      </c>
      <c r="M49" s="170"/>
      <c r="N49" s="61" t="s">
        <v>87</v>
      </c>
      <c r="O49" s="180">
        <v>0.5</v>
      </c>
    </row>
    <row r="50" spans="1:15">
      <c r="A50" s="2"/>
      <c r="B50" s="61" t="s">
        <v>52</v>
      </c>
      <c r="C50" s="59">
        <v>130</v>
      </c>
      <c r="D50" s="59">
        <v>2.96</v>
      </c>
      <c r="E50" s="59">
        <v>11.5</v>
      </c>
      <c r="F50" s="59">
        <v>4.3</v>
      </c>
      <c r="G50" s="59">
        <v>0</v>
      </c>
      <c r="H50" s="59" t="s">
        <v>102</v>
      </c>
      <c r="I50" s="59">
        <v>15</v>
      </c>
      <c r="J50" s="109">
        <f t="shared" si="0"/>
        <v>7.5</v>
      </c>
      <c r="K50" s="172">
        <v>15</v>
      </c>
      <c r="L50" s="60" t="s">
        <v>536</v>
      </c>
      <c r="M50" s="170"/>
      <c r="N50" s="61" t="s">
        <v>89</v>
      </c>
      <c r="O50" s="180">
        <v>0.25</v>
      </c>
    </row>
    <row r="51" spans="1:15">
      <c r="A51" s="2"/>
      <c r="B51" s="61" t="s">
        <v>384</v>
      </c>
      <c r="C51" s="59">
        <v>195</v>
      </c>
      <c r="D51" s="59">
        <v>2.7</v>
      </c>
      <c r="E51" s="59">
        <v>19.309999999999999</v>
      </c>
      <c r="F51" s="59">
        <v>3.66</v>
      </c>
      <c r="G51" s="59">
        <v>0</v>
      </c>
      <c r="H51" s="59" t="s">
        <v>102</v>
      </c>
      <c r="I51" s="59">
        <v>15</v>
      </c>
      <c r="J51" s="109">
        <f t="shared" si="0"/>
        <v>7.5</v>
      </c>
      <c r="K51" s="172">
        <v>15</v>
      </c>
      <c r="L51" s="60" t="s">
        <v>536</v>
      </c>
      <c r="M51" s="170"/>
      <c r="N51" s="61" t="s">
        <v>84</v>
      </c>
      <c r="O51" s="179">
        <v>0.25</v>
      </c>
    </row>
    <row r="52" spans="1:15">
      <c r="A52" s="2"/>
      <c r="B52" s="61" t="s">
        <v>44</v>
      </c>
      <c r="C52" s="59">
        <v>214</v>
      </c>
      <c r="D52" s="59">
        <v>3.16</v>
      </c>
      <c r="E52" s="59">
        <v>20.96</v>
      </c>
      <c r="F52" s="59">
        <v>4.2699999999999996</v>
      </c>
      <c r="G52" s="59">
        <v>0</v>
      </c>
      <c r="H52" s="59" t="s">
        <v>102</v>
      </c>
      <c r="I52" s="59">
        <v>12</v>
      </c>
      <c r="J52" s="109">
        <f t="shared" si="0"/>
        <v>6</v>
      </c>
      <c r="K52" s="172">
        <v>12</v>
      </c>
      <c r="L52" s="60" t="s">
        <v>536</v>
      </c>
      <c r="M52" s="170"/>
      <c r="N52" s="61" t="s">
        <v>91</v>
      </c>
      <c r="O52" s="179">
        <v>0.5</v>
      </c>
    </row>
    <row r="53" spans="1:15">
      <c r="A53" s="2"/>
      <c r="B53" s="61" t="s">
        <v>43</v>
      </c>
      <c r="C53" s="59">
        <v>135</v>
      </c>
      <c r="D53" s="59">
        <v>2.94</v>
      </c>
      <c r="E53" s="59">
        <v>12</v>
      </c>
      <c r="F53" s="59">
        <v>4.26</v>
      </c>
      <c r="G53" s="59">
        <v>0</v>
      </c>
      <c r="H53" s="59" t="s">
        <v>102</v>
      </c>
      <c r="I53" s="59">
        <v>15</v>
      </c>
      <c r="J53" s="109">
        <f t="shared" si="0"/>
        <v>7.5</v>
      </c>
      <c r="K53" s="172">
        <v>15</v>
      </c>
      <c r="L53" s="60" t="s">
        <v>536</v>
      </c>
      <c r="M53" s="170"/>
      <c r="N53" s="61" t="s">
        <v>82</v>
      </c>
      <c r="O53" s="179">
        <v>0.33</v>
      </c>
    </row>
    <row r="54" spans="1:15">
      <c r="A54" s="2"/>
      <c r="B54" s="61" t="s">
        <v>385</v>
      </c>
      <c r="C54" s="59">
        <v>257</v>
      </c>
      <c r="D54" s="59">
        <v>3.2</v>
      </c>
      <c r="E54" s="59">
        <v>22.22</v>
      </c>
      <c r="F54" s="59">
        <v>12.49</v>
      </c>
      <c r="G54" s="59">
        <v>0</v>
      </c>
      <c r="H54" s="59" t="s">
        <v>102</v>
      </c>
      <c r="I54" s="59">
        <v>3</v>
      </c>
      <c r="J54" s="109">
        <f t="shared" si="0"/>
        <v>1.5</v>
      </c>
      <c r="K54" s="172">
        <v>3</v>
      </c>
      <c r="L54" s="60" t="s">
        <v>536</v>
      </c>
      <c r="M54" s="170"/>
      <c r="N54" s="61" t="s">
        <v>934</v>
      </c>
      <c r="O54" s="179">
        <v>0.5</v>
      </c>
    </row>
    <row r="55" spans="1:15">
      <c r="A55" s="2"/>
      <c r="B55" s="61" t="s">
        <v>1436</v>
      </c>
      <c r="C55" s="59">
        <v>135</v>
      </c>
      <c r="D55" s="59">
        <v>3.81</v>
      </c>
      <c r="E55" s="59">
        <v>7.48</v>
      </c>
      <c r="F55" s="59">
        <v>13.54</v>
      </c>
      <c r="G55" s="59">
        <v>0</v>
      </c>
      <c r="H55" s="59" t="s">
        <v>101</v>
      </c>
      <c r="I55" s="59">
        <v>254</v>
      </c>
      <c r="J55" s="109">
        <f t="shared" si="0"/>
        <v>31.75</v>
      </c>
      <c r="K55" s="172">
        <v>254</v>
      </c>
      <c r="L55" s="60" t="s">
        <v>512</v>
      </c>
      <c r="M55" s="170"/>
      <c r="N55" s="61" t="s">
        <v>1009</v>
      </c>
      <c r="O55" s="179">
        <v>0.5</v>
      </c>
    </row>
    <row r="56" spans="1:15">
      <c r="A56" s="2"/>
      <c r="B56" s="61" t="s">
        <v>47</v>
      </c>
      <c r="C56" s="59">
        <v>40</v>
      </c>
      <c r="D56" s="59">
        <v>3.31</v>
      </c>
      <c r="E56" s="59">
        <v>0.88</v>
      </c>
      <c r="F56" s="59">
        <v>4.79</v>
      </c>
      <c r="G56" s="59">
        <v>0</v>
      </c>
      <c r="H56" s="59" t="s">
        <v>1437</v>
      </c>
      <c r="I56" s="59">
        <v>31</v>
      </c>
      <c r="J56" s="109">
        <f t="shared" si="0"/>
        <v>31</v>
      </c>
      <c r="K56" s="172">
        <v>31</v>
      </c>
      <c r="L56" s="60" t="s">
        <v>538</v>
      </c>
      <c r="M56" s="170"/>
      <c r="N56" s="61" t="s">
        <v>935</v>
      </c>
      <c r="O56" s="179">
        <v>0.5</v>
      </c>
    </row>
    <row r="57" spans="1:15">
      <c r="A57" s="2"/>
      <c r="B57" s="61" t="s">
        <v>48</v>
      </c>
      <c r="C57" s="59">
        <v>83</v>
      </c>
      <c r="D57" s="59">
        <v>3.17</v>
      </c>
      <c r="E57" s="59">
        <v>3.39</v>
      </c>
      <c r="F57" s="59">
        <v>10.34</v>
      </c>
      <c r="G57" s="59">
        <v>0.8</v>
      </c>
      <c r="H57" s="59" t="s">
        <v>101</v>
      </c>
      <c r="I57" s="59">
        <v>250</v>
      </c>
      <c r="J57" s="109">
        <f t="shared" si="0"/>
        <v>31.25</v>
      </c>
      <c r="K57" s="172">
        <v>250</v>
      </c>
      <c r="L57" s="60" t="s">
        <v>512</v>
      </c>
      <c r="M57" s="170"/>
      <c r="N57" s="61" t="s">
        <v>73</v>
      </c>
      <c r="O57" s="179">
        <v>0.5</v>
      </c>
    </row>
    <row r="58" spans="1:15">
      <c r="A58" s="2"/>
      <c r="B58" s="61" t="s">
        <v>49</v>
      </c>
      <c r="C58" s="59">
        <v>63</v>
      </c>
      <c r="D58" s="59">
        <v>3.24</v>
      </c>
      <c r="E58" s="59">
        <v>1</v>
      </c>
      <c r="F58" s="59">
        <v>10.44</v>
      </c>
      <c r="G58" s="59">
        <v>0.5</v>
      </c>
      <c r="H58" s="59" t="s">
        <v>101</v>
      </c>
      <c r="I58" s="59">
        <v>250</v>
      </c>
      <c r="J58" s="109">
        <f t="shared" si="0"/>
        <v>31.25</v>
      </c>
      <c r="K58" s="172">
        <v>250</v>
      </c>
      <c r="L58" s="60" t="s">
        <v>512</v>
      </c>
      <c r="M58" s="170"/>
      <c r="N58" s="61" t="s">
        <v>27</v>
      </c>
      <c r="O58" s="179">
        <v>0.5</v>
      </c>
    </row>
    <row r="59" spans="1:15">
      <c r="A59" s="2"/>
      <c r="B59" s="61" t="s">
        <v>50</v>
      </c>
      <c r="C59" s="59">
        <v>69</v>
      </c>
      <c r="D59" s="59">
        <v>3.56</v>
      </c>
      <c r="E59" s="59">
        <v>4.1399999999999997</v>
      </c>
      <c r="F59" s="59">
        <v>4.45</v>
      </c>
      <c r="G59" s="59">
        <v>0</v>
      </c>
      <c r="H59" s="59" t="s">
        <v>1437</v>
      </c>
      <c r="I59" s="59">
        <v>30</v>
      </c>
      <c r="J59" s="109">
        <f t="shared" si="0"/>
        <v>30</v>
      </c>
      <c r="K59" s="172">
        <v>30</v>
      </c>
      <c r="L59" s="60" t="s">
        <v>538</v>
      </c>
      <c r="M59" s="170"/>
      <c r="N59" s="61" t="s">
        <v>271</v>
      </c>
      <c r="O59" s="179">
        <v>0.25</v>
      </c>
    </row>
    <row r="60" spans="1:15">
      <c r="A60" s="2"/>
      <c r="B60" s="61" t="s">
        <v>46</v>
      </c>
      <c r="C60" s="59">
        <v>50</v>
      </c>
      <c r="D60" s="59">
        <v>3.3</v>
      </c>
      <c r="E60" s="59">
        <v>1.97</v>
      </c>
      <c r="F60" s="59">
        <v>4.68</v>
      </c>
      <c r="G60" s="59">
        <v>0</v>
      </c>
      <c r="H60" s="59" t="s">
        <v>101</v>
      </c>
      <c r="I60" s="59">
        <v>244</v>
      </c>
      <c r="J60" s="109">
        <f t="shared" si="0"/>
        <v>30.5</v>
      </c>
      <c r="K60" s="172">
        <v>244</v>
      </c>
      <c r="L60" s="60" t="s">
        <v>512</v>
      </c>
      <c r="M60" s="170"/>
      <c r="N60" s="61" t="s">
        <v>95</v>
      </c>
      <c r="O60" s="179">
        <v>0.25</v>
      </c>
    </row>
    <row r="61" spans="1:15">
      <c r="A61" s="2"/>
      <c r="B61" s="61" t="s">
        <v>45</v>
      </c>
      <c r="C61" s="59">
        <v>60</v>
      </c>
      <c r="D61" s="59">
        <v>3.22</v>
      </c>
      <c r="E61" s="59">
        <v>3.25</v>
      </c>
      <c r="F61" s="59">
        <v>4.5199999999999996</v>
      </c>
      <c r="G61" s="59">
        <v>0</v>
      </c>
      <c r="H61" s="59" t="s">
        <v>101</v>
      </c>
      <c r="I61" s="59">
        <v>244</v>
      </c>
      <c r="J61" s="109">
        <f t="shared" si="0"/>
        <v>30.5</v>
      </c>
      <c r="K61" s="172">
        <v>244</v>
      </c>
      <c r="L61" s="60" t="s">
        <v>512</v>
      </c>
      <c r="M61" s="170"/>
      <c r="N61" s="61" t="s">
        <v>1453</v>
      </c>
      <c r="O61" s="179">
        <v>0.25</v>
      </c>
    </row>
    <row r="62" spans="1:15" ht="13.5" thickBot="1">
      <c r="A62" s="2"/>
      <c r="B62" s="63" t="s">
        <v>51</v>
      </c>
      <c r="C62" s="64">
        <v>61</v>
      </c>
      <c r="D62" s="64">
        <v>3.47</v>
      </c>
      <c r="E62" s="64">
        <v>3.25</v>
      </c>
      <c r="F62" s="64">
        <v>4.66</v>
      </c>
      <c r="G62" s="64">
        <v>0</v>
      </c>
      <c r="H62" s="64" t="s">
        <v>1447</v>
      </c>
      <c r="I62" s="64">
        <v>245</v>
      </c>
      <c r="J62" s="111">
        <f t="shared" si="0"/>
        <v>30.625</v>
      </c>
      <c r="K62" s="173">
        <v>245</v>
      </c>
      <c r="L62" s="70" t="s">
        <v>512</v>
      </c>
      <c r="M62" s="170"/>
      <c r="N62" s="61" t="s">
        <v>96</v>
      </c>
      <c r="O62" s="179">
        <v>0.25</v>
      </c>
    </row>
    <row r="63" spans="1:15" ht="14.25" thickTop="1" thickBot="1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170"/>
      <c r="N63" s="61" t="s">
        <v>135</v>
      </c>
      <c r="O63" s="179">
        <v>0.25</v>
      </c>
    </row>
    <row r="64" spans="1:15" ht="18.75" thickTop="1">
      <c r="A64" s="2"/>
      <c r="B64" s="66" t="s">
        <v>29</v>
      </c>
      <c r="C64" s="67" t="s">
        <v>1474</v>
      </c>
      <c r="D64" s="68" t="s">
        <v>99</v>
      </c>
      <c r="E64" s="67" t="s">
        <v>1475</v>
      </c>
      <c r="F64" s="67" t="s">
        <v>1476</v>
      </c>
      <c r="G64" s="67" t="s">
        <v>1477</v>
      </c>
      <c r="H64" s="68" t="s">
        <v>918</v>
      </c>
      <c r="I64" s="68" t="s">
        <v>919</v>
      </c>
      <c r="J64" s="67" t="s">
        <v>467</v>
      </c>
      <c r="K64" s="67" t="s">
        <v>203</v>
      </c>
      <c r="L64" s="69"/>
      <c r="M64" s="170"/>
      <c r="N64" s="61" t="s">
        <v>133</v>
      </c>
      <c r="O64" s="179">
        <v>0.5</v>
      </c>
    </row>
    <row r="65" spans="1:15">
      <c r="A65" s="2"/>
      <c r="B65" s="61" t="s">
        <v>181</v>
      </c>
      <c r="C65" s="59">
        <v>902</v>
      </c>
      <c r="D65" s="59">
        <v>0</v>
      </c>
      <c r="E65" s="59">
        <v>100</v>
      </c>
      <c r="F65" s="59">
        <v>0</v>
      </c>
      <c r="G65" s="59">
        <v>0</v>
      </c>
      <c r="H65" s="101" t="s">
        <v>102</v>
      </c>
      <c r="I65" s="101">
        <v>14</v>
      </c>
      <c r="J65" s="59">
        <f t="shared" ref="J65:J111" si="1">I65*VLOOKUP(H65,Fractional,2,FALSE)</f>
        <v>7</v>
      </c>
      <c r="K65" s="171">
        <v>14</v>
      </c>
      <c r="L65" s="141" t="s">
        <v>536</v>
      </c>
      <c r="M65" s="170"/>
      <c r="N65" s="61" t="s">
        <v>315</v>
      </c>
      <c r="O65" s="179">
        <v>0.25</v>
      </c>
    </row>
    <row r="66" spans="1:15">
      <c r="A66" s="2"/>
      <c r="B66" s="61" t="s">
        <v>182</v>
      </c>
      <c r="C66" s="59">
        <v>884</v>
      </c>
      <c r="D66" s="59">
        <v>0</v>
      </c>
      <c r="E66" s="59">
        <v>100</v>
      </c>
      <c r="F66" s="59">
        <v>0</v>
      </c>
      <c r="G66" s="59">
        <v>0</v>
      </c>
      <c r="H66" s="59" t="s">
        <v>102</v>
      </c>
      <c r="I66" s="59">
        <v>14</v>
      </c>
      <c r="J66" s="59">
        <f t="shared" si="1"/>
        <v>7</v>
      </c>
      <c r="K66" s="172">
        <v>14</v>
      </c>
      <c r="L66" s="60" t="s">
        <v>536</v>
      </c>
      <c r="M66" s="170"/>
      <c r="N66" s="61" t="s">
        <v>321</v>
      </c>
      <c r="O66" s="179">
        <v>0.08</v>
      </c>
    </row>
    <row r="67" spans="1:15">
      <c r="A67" s="2"/>
      <c r="B67" s="61" t="s">
        <v>183</v>
      </c>
      <c r="C67" s="59">
        <v>884</v>
      </c>
      <c r="D67" s="59">
        <v>0</v>
      </c>
      <c r="E67" s="59">
        <v>100</v>
      </c>
      <c r="F67" s="59">
        <v>0</v>
      </c>
      <c r="G67" s="59">
        <v>0</v>
      </c>
      <c r="H67" s="59" t="s">
        <v>102</v>
      </c>
      <c r="I67" s="59">
        <v>14</v>
      </c>
      <c r="J67" s="59">
        <f t="shared" si="1"/>
        <v>7</v>
      </c>
      <c r="K67" s="172">
        <v>14</v>
      </c>
      <c r="L67" s="60" t="s">
        <v>536</v>
      </c>
      <c r="M67" s="170"/>
      <c r="N67" s="61" t="s">
        <v>1452</v>
      </c>
      <c r="O67" s="179">
        <v>0.5</v>
      </c>
    </row>
    <row r="68" spans="1:15">
      <c r="A68" s="2"/>
      <c r="B68" s="61" t="s">
        <v>184</v>
      </c>
      <c r="C68" s="59">
        <v>884</v>
      </c>
      <c r="D68" s="59">
        <v>0</v>
      </c>
      <c r="E68" s="59">
        <v>100</v>
      </c>
      <c r="F68" s="59">
        <v>0</v>
      </c>
      <c r="G68" s="59">
        <v>0</v>
      </c>
      <c r="H68" s="59" t="s">
        <v>102</v>
      </c>
      <c r="I68" s="59">
        <v>218</v>
      </c>
      <c r="J68" s="59">
        <f t="shared" si="1"/>
        <v>109</v>
      </c>
      <c r="K68" s="172">
        <v>218</v>
      </c>
      <c r="L68" s="60" t="s">
        <v>536</v>
      </c>
      <c r="M68" s="170"/>
      <c r="N68" s="61" t="s">
        <v>116</v>
      </c>
      <c r="O68" s="181">
        <v>1</v>
      </c>
    </row>
    <row r="69" spans="1:15">
      <c r="A69" s="2"/>
      <c r="B69" s="61" t="s">
        <v>185</v>
      </c>
      <c r="C69" s="59">
        <v>884</v>
      </c>
      <c r="D69" s="59">
        <v>0</v>
      </c>
      <c r="E69" s="59">
        <v>100</v>
      </c>
      <c r="F69" s="59">
        <v>0</v>
      </c>
      <c r="G69" s="59">
        <v>0</v>
      </c>
      <c r="H69" s="59" t="s">
        <v>102</v>
      </c>
      <c r="I69" s="59">
        <v>14</v>
      </c>
      <c r="J69" s="59">
        <f t="shared" si="1"/>
        <v>7</v>
      </c>
      <c r="K69" s="172">
        <v>14</v>
      </c>
      <c r="L69" s="60" t="s">
        <v>536</v>
      </c>
      <c r="M69" s="170"/>
      <c r="N69" s="61" t="s">
        <v>320</v>
      </c>
      <c r="O69" s="181">
        <v>1</v>
      </c>
    </row>
    <row r="70" spans="1:15">
      <c r="A70" s="2"/>
      <c r="B70" s="61" t="s">
        <v>386</v>
      </c>
      <c r="C70" s="59">
        <v>75</v>
      </c>
      <c r="D70" s="59">
        <v>0.47</v>
      </c>
      <c r="E70" s="59">
        <v>6.38</v>
      </c>
      <c r="F70" s="59">
        <v>4.57</v>
      </c>
      <c r="G70" s="59">
        <v>0</v>
      </c>
      <c r="H70" s="59" t="s">
        <v>102</v>
      </c>
      <c r="I70" s="59">
        <v>15</v>
      </c>
      <c r="J70" s="59">
        <f t="shared" si="1"/>
        <v>7.5</v>
      </c>
      <c r="K70" s="172">
        <v>15</v>
      </c>
      <c r="L70" s="60" t="s">
        <v>536</v>
      </c>
      <c r="M70" s="170"/>
      <c r="N70" s="61" t="s">
        <v>316</v>
      </c>
      <c r="O70" s="181">
        <v>1</v>
      </c>
    </row>
    <row r="71" spans="1:15">
      <c r="A71" s="2"/>
      <c r="B71" s="61" t="s">
        <v>387</v>
      </c>
      <c r="C71" s="59">
        <v>84</v>
      </c>
      <c r="D71" s="59">
        <v>0.2</v>
      </c>
      <c r="E71" s="59">
        <v>2.7</v>
      </c>
      <c r="F71" s="59">
        <v>15.5</v>
      </c>
      <c r="G71" s="59">
        <v>1.9</v>
      </c>
      <c r="H71" s="59" t="s">
        <v>102</v>
      </c>
      <c r="I71" s="59">
        <v>16</v>
      </c>
      <c r="J71" s="62">
        <f t="shared" si="1"/>
        <v>8</v>
      </c>
      <c r="K71" s="172">
        <v>16</v>
      </c>
      <c r="L71" s="60" t="s">
        <v>536</v>
      </c>
      <c r="M71" s="170"/>
      <c r="N71" s="61" t="s">
        <v>119</v>
      </c>
      <c r="O71" s="181">
        <v>0.5</v>
      </c>
    </row>
    <row r="72" spans="1:15">
      <c r="A72" s="2"/>
      <c r="B72" s="61" t="s">
        <v>57</v>
      </c>
      <c r="C72" s="59">
        <v>719</v>
      </c>
      <c r="D72" s="59">
        <v>0.9</v>
      </c>
      <c r="E72" s="59">
        <v>80.5</v>
      </c>
      <c r="F72" s="59">
        <v>0.9</v>
      </c>
      <c r="G72" s="59">
        <v>0</v>
      </c>
      <c r="H72" s="59" t="s">
        <v>1445</v>
      </c>
      <c r="I72" s="59">
        <v>4.7</v>
      </c>
      <c r="J72" s="59">
        <f t="shared" si="1"/>
        <v>4.7</v>
      </c>
      <c r="K72" s="172">
        <v>4.7</v>
      </c>
      <c r="L72" s="60" t="s">
        <v>539</v>
      </c>
      <c r="M72" s="170"/>
      <c r="N72" s="61" t="s">
        <v>126</v>
      </c>
      <c r="O72" s="181">
        <v>0.5</v>
      </c>
    </row>
    <row r="73" spans="1:15">
      <c r="A73" s="2"/>
      <c r="B73" s="61" t="s">
        <v>388</v>
      </c>
      <c r="C73" s="59">
        <v>537</v>
      </c>
      <c r="D73" s="59">
        <v>0.12</v>
      </c>
      <c r="E73" s="59">
        <v>60.39</v>
      </c>
      <c r="F73" s="59">
        <v>0.69</v>
      </c>
      <c r="G73" s="59">
        <v>0</v>
      </c>
      <c r="H73" s="59" t="s">
        <v>102</v>
      </c>
      <c r="I73" s="59">
        <v>14</v>
      </c>
      <c r="J73" s="59">
        <f t="shared" si="1"/>
        <v>7</v>
      </c>
      <c r="K73" s="172">
        <v>14</v>
      </c>
      <c r="L73" s="60" t="s">
        <v>536</v>
      </c>
      <c r="M73" s="170"/>
      <c r="N73" s="61" t="s">
        <v>936</v>
      </c>
      <c r="O73" s="179">
        <v>0.25</v>
      </c>
    </row>
    <row r="74" spans="1:15">
      <c r="A74" s="2"/>
      <c r="B74" s="61" t="s">
        <v>389</v>
      </c>
      <c r="C74" s="59">
        <v>330</v>
      </c>
      <c r="D74" s="59">
        <v>2</v>
      </c>
      <c r="E74" s="59">
        <v>35</v>
      </c>
      <c r="F74" s="59">
        <v>2</v>
      </c>
      <c r="G74" s="59">
        <v>0</v>
      </c>
      <c r="H74" s="59" t="s">
        <v>102</v>
      </c>
      <c r="I74" s="59">
        <v>14</v>
      </c>
      <c r="J74" s="62">
        <f t="shared" si="1"/>
        <v>7</v>
      </c>
      <c r="K74" s="172">
        <v>14</v>
      </c>
      <c r="L74" s="60" t="s">
        <v>536</v>
      </c>
      <c r="M74" s="170"/>
      <c r="N74" s="61" t="s">
        <v>127</v>
      </c>
      <c r="O74" s="179">
        <v>0.25</v>
      </c>
    </row>
    <row r="75" spans="1:15">
      <c r="A75" s="2"/>
      <c r="B75" s="61" t="s">
        <v>54</v>
      </c>
      <c r="C75" s="59">
        <v>884</v>
      </c>
      <c r="D75" s="59">
        <v>0</v>
      </c>
      <c r="E75" s="59">
        <v>100</v>
      </c>
      <c r="F75" s="59">
        <v>0</v>
      </c>
      <c r="G75" s="59">
        <v>0</v>
      </c>
      <c r="H75" s="59" t="s">
        <v>102</v>
      </c>
      <c r="I75" s="59">
        <v>14</v>
      </c>
      <c r="J75" s="59">
        <f t="shared" si="1"/>
        <v>7</v>
      </c>
      <c r="K75" s="172">
        <v>14</v>
      </c>
      <c r="L75" s="60" t="s">
        <v>536</v>
      </c>
      <c r="M75" s="170"/>
      <c r="N75" s="61" t="s">
        <v>131</v>
      </c>
      <c r="O75" s="181">
        <v>0.5</v>
      </c>
    </row>
    <row r="76" spans="1:15">
      <c r="A76" s="2"/>
      <c r="B76" s="61" t="s">
        <v>56</v>
      </c>
      <c r="C76" s="59">
        <v>862</v>
      </c>
      <c r="D76" s="59">
        <v>0</v>
      </c>
      <c r="E76" s="59">
        <v>100</v>
      </c>
      <c r="F76" s="59">
        <v>0</v>
      </c>
      <c r="G76" s="59">
        <v>0</v>
      </c>
      <c r="H76" s="59" t="s">
        <v>102</v>
      </c>
      <c r="I76" s="59">
        <v>14</v>
      </c>
      <c r="J76" s="59">
        <f t="shared" si="1"/>
        <v>7</v>
      </c>
      <c r="K76" s="172">
        <v>14</v>
      </c>
      <c r="L76" s="60" t="s">
        <v>536</v>
      </c>
      <c r="M76" s="170"/>
      <c r="N76" s="61" t="s">
        <v>139</v>
      </c>
      <c r="O76" s="179">
        <v>0.5</v>
      </c>
    </row>
    <row r="77" spans="1:15">
      <c r="A77" s="2"/>
      <c r="B77" s="61" t="s">
        <v>55</v>
      </c>
      <c r="C77" s="59">
        <v>884</v>
      </c>
      <c r="D77" s="59">
        <v>0</v>
      </c>
      <c r="E77" s="59">
        <v>100</v>
      </c>
      <c r="F77" s="59">
        <v>0</v>
      </c>
      <c r="G77" s="59">
        <v>0</v>
      </c>
      <c r="H77" s="59" t="s">
        <v>102</v>
      </c>
      <c r="I77" s="59">
        <v>14</v>
      </c>
      <c r="J77" s="59">
        <f t="shared" si="1"/>
        <v>7</v>
      </c>
      <c r="K77" s="172">
        <v>14</v>
      </c>
      <c r="L77" s="60" t="s">
        <v>536</v>
      </c>
      <c r="M77" s="170"/>
      <c r="N77" s="61" t="s">
        <v>937</v>
      </c>
      <c r="O77" s="179">
        <v>0.17</v>
      </c>
    </row>
    <row r="78" spans="1:15">
      <c r="A78" s="2"/>
      <c r="B78" s="61" t="s">
        <v>58</v>
      </c>
      <c r="C78" s="59">
        <v>884</v>
      </c>
      <c r="D78" s="59">
        <v>0</v>
      </c>
      <c r="E78" s="59">
        <v>100</v>
      </c>
      <c r="F78" s="59">
        <v>0</v>
      </c>
      <c r="G78" s="59">
        <v>0</v>
      </c>
      <c r="H78" s="59" t="s">
        <v>102</v>
      </c>
      <c r="I78" s="59">
        <v>14</v>
      </c>
      <c r="J78" s="59">
        <f t="shared" si="1"/>
        <v>7</v>
      </c>
      <c r="K78" s="172">
        <v>14</v>
      </c>
      <c r="L78" s="60" t="s">
        <v>536</v>
      </c>
      <c r="M78" s="170"/>
      <c r="N78" s="61" t="s">
        <v>143</v>
      </c>
      <c r="O78" s="179">
        <v>0.5</v>
      </c>
    </row>
    <row r="79" spans="1:15">
      <c r="A79" s="2"/>
      <c r="B79" s="61" t="s">
        <v>1469</v>
      </c>
      <c r="C79" s="59">
        <v>884</v>
      </c>
      <c r="D79" s="59">
        <v>0</v>
      </c>
      <c r="E79" s="59">
        <v>100</v>
      </c>
      <c r="F79" s="59">
        <v>0</v>
      </c>
      <c r="G79" s="59">
        <v>0</v>
      </c>
      <c r="H79" s="59" t="s">
        <v>102</v>
      </c>
      <c r="I79" s="59">
        <v>14</v>
      </c>
      <c r="J79" s="59">
        <f t="shared" si="1"/>
        <v>7</v>
      </c>
      <c r="K79" s="172">
        <v>14</v>
      </c>
      <c r="L79" s="60" t="s">
        <v>536</v>
      </c>
      <c r="M79" s="170"/>
      <c r="N79" s="61" t="s">
        <v>938</v>
      </c>
      <c r="O79" s="181">
        <v>0.5</v>
      </c>
    </row>
    <row r="80" spans="1:15">
      <c r="A80" s="2"/>
      <c r="B80" s="61" t="s">
        <v>1461</v>
      </c>
      <c r="C80" s="59">
        <v>884</v>
      </c>
      <c r="D80" s="59">
        <v>0</v>
      </c>
      <c r="E80" s="59">
        <v>100</v>
      </c>
      <c r="F80" s="59">
        <v>0</v>
      </c>
      <c r="G80" s="59">
        <v>0</v>
      </c>
      <c r="H80" s="59" t="s">
        <v>102</v>
      </c>
      <c r="I80" s="59">
        <v>14</v>
      </c>
      <c r="J80" s="59">
        <f t="shared" si="1"/>
        <v>7</v>
      </c>
      <c r="K80" s="172">
        <v>14</v>
      </c>
      <c r="L80" s="60" t="s">
        <v>536</v>
      </c>
      <c r="M80" s="170"/>
      <c r="N80" s="61" t="s">
        <v>147</v>
      </c>
      <c r="O80" s="179">
        <v>0.1</v>
      </c>
    </row>
    <row r="81" spans="1:15">
      <c r="A81" s="2"/>
      <c r="B81" s="61" t="s">
        <v>59</v>
      </c>
      <c r="C81" s="59">
        <v>884</v>
      </c>
      <c r="D81" s="59">
        <v>0</v>
      </c>
      <c r="E81" s="59">
        <v>100</v>
      </c>
      <c r="F81" s="59">
        <v>0</v>
      </c>
      <c r="G81" s="59">
        <v>0</v>
      </c>
      <c r="H81" s="59" t="s">
        <v>102</v>
      </c>
      <c r="I81" s="59">
        <v>14</v>
      </c>
      <c r="J81" s="59">
        <f t="shared" si="1"/>
        <v>7</v>
      </c>
      <c r="K81" s="172">
        <v>14</v>
      </c>
      <c r="L81" s="60" t="s">
        <v>536</v>
      </c>
      <c r="M81" s="170"/>
      <c r="N81" s="61" t="s">
        <v>16</v>
      </c>
      <c r="O81" s="179">
        <v>0.17</v>
      </c>
    </row>
    <row r="82" spans="1:15">
      <c r="A82" s="2"/>
      <c r="B82" s="61" t="s">
        <v>390</v>
      </c>
      <c r="C82" s="59">
        <v>884</v>
      </c>
      <c r="D82" s="59">
        <v>0</v>
      </c>
      <c r="E82" s="59">
        <v>100</v>
      </c>
      <c r="F82" s="59">
        <v>0</v>
      </c>
      <c r="G82" s="59">
        <v>0</v>
      </c>
      <c r="H82" s="59" t="s">
        <v>102</v>
      </c>
      <c r="I82" s="59">
        <v>14</v>
      </c>
      <c r="J82" s="59">
        <f t="shared" si="1"/>
        <v>7</v>
      </c>
      <c r="K82" s="172">
        <v>14</v>
      </c>
      <c r="L82" s="60" t="s">
        <v>536</v>
      </c>
      <c r="M82" s="170"/>
      <c r="N82" s="61" t="s">
        <v>318</v>
      </c>
      <c r="O82" s="181">
        <v>0.5</v>
      </c>
    </row>
    <row r="83" spans="1:15">
      <c r="A83" s="2"/>
      <c r="B83" s="61" t="s">
        <v>1468</v>
      </c>
      <c r="C83" s="59">
        <v>884</v>
      </c>
      <c r="D83" s="59">
        <v>0</v>
      </c>
      <c r="E83" s="59">
        <v>100</v>
      </c>
      <c r="F83" s="59">
        <v>0</v>
      </c>
      <c r="G83" s="59">
        <v>0</v>
      </c>
      <c r="H83" s="59" t="s">
        <v>102</v>
      </c>
      <c r="I83" s="59">
        <v>14</v>
      </c>
      <c r="J83" s="59">
        <f t="shared" si="1"/>
        <v>7</v>
      </c>
      <c r="K83" s="172">
        <v>14</v>
      </c>
      <c r="L83" s="60" t="s">
        <v>536</v>
      </c>
      <c r="M83" s="170"/>
      <c r="N83" s="61" t="s">
        <v>319</v>
      </c>
      <c r="O83" s="179">
        <v>0.1</v>
      </c>
    </row>
    <row r="84" spans="1:15">
      <c r="A84" s="2"/>
      <c r="B84" s="61" t="s">
        <v>1471</v>
      </c>
      <c r="C84" s="59">
        <v>884</v>
      </c>
      <c r="D84" s="59">
        <v>0</v>
      </c>
      <c r="E84" s="59">
        <v>100</v>
      </c>
      <c r="F84" s="59">
        <v>0</v>
      </c>
      <c r="G84" s="59">
        <v>0</v>
      </c>
      <c r="H84" s="59" t="s">
        <v>102</v>
      </c>
      <c r="I84" s="59">
        <v>14</v>
      </c>
      <c r="J84" s="59">
        <f t="shared" si="1"/>
        <v>7</v>
      </c>
      <c r="K84" s="172">
        <v>14</v>
      </c>
      <c r="L84" s="60" t="s">
        <v>536</v>
      </c>
      <c r="M84" s="170"/>
      <c r="N84" s="61" t="s">
        <v>114</v>
      </c>
      <c r="O84" s="179">
        <v>0.25</v>
      </c>
    </row>
    <row r="85" spans="1:15">
      <c r="A85" s="2"/>
      <c r="B85" s="61" t="s">
        <v>1466</v>
      </c>
      <c r="C85" s="59">
        <v>884</v>
      </c>
      <c r="D85" s="59">
        <v>0</v>
      </c>
      <c r="E85" s="59">
        <v>100</v>
      </c>
      <c r="F85" s="59">
        <v>0</v>
      </c>
      <c r="G85" s="59">
        <v>0</v>
      </c>
      <c r="H85" s="59" t="s">
        <v>102</v>
      </c>
      <c r="I85" s="59">
        <v>14</v>
      </c>
      <c r="J85" s="59">
        <f t="shared" si="1"/>
        <v>7</v>
      </c>
      <c r="K85" s="172">
        <v>14</v>
      </c>
      <c r="L85" s="60" t="s">
        <v>536</v>
      </c>
      <c r="M85" s="170"/>
      <c r="N85" s="61" t="s">
        <v>151</v>
      </c>
      <c r="O85" s="180">
        <v>0.75</v>
      </c>
    </row>
    <row r="86" spans="1:15">
      <c r="A86" s="2"/>
      <c r="B86" s="61" t="s">
        <v>1470</v>
      </c>
      <c r="C86" s="59">
        <v>884</v>
      </c>
      <c r="D86" s="59">
        <v>0</v>
      </c>
      <c r="E86" s="59">
        <v>100</v>
      </c>
      <c r="F86" s="59">
        <v>0</v>
      </c>
      <c r="G86" s="59">
        <v>0</v>
      </c>
      <c r="H86" s="59" t="s">
        <v>102</v>
      </c>
      <c r="I86" s="59">
        <v>14</v>
      </c>
      <c r="J86" s="59">
        <f t="shared" si="1"/>
        <v>7</v>
      </c>
      <c r="K86" s="172">
        <v>14</v>
      </c>
      <c r="L86" s="60" t="s">
        <v>536</v>
      </c>
      <c r="M86" s="170"/>
      <c r="N86" s="61" t="s">
        <v>149</v>
      </c>
      <c r="O86" s="179">
        <v>0.125</v>
      </c>
    </row>
    <row r="87" spans="1:15">
      <c r="A87" s="2"/>
      <c r="B87" s="61" t="s">
        <v>1463</v>
      </c>
      <c r="C87" s="59">
        <v>884</v>
      </c>
      <c r="D87" s="59">
        <v>0</v>
      </c>
      <c r="E87" s="59">
        <v>100</v>
      </c>
      <c r="F87" s="59">
        <v>0</v>
      </c>
      <c r="G87" s="59">
        <v>0</v>
      </c>
      <c r="H87" s="59" t="s">
        <v>102</v>
      </c>
      <c r="I87" s="59">
        <v>14</v>
      </c>
      <c r="J87" s="59">
        <f t="shared" si="1"/>
        <v>7</v>
      </c>
      <c r="K87" s="172">
        <v>14</v>
      </c>
      <c r="L87" s="60" t="s">
        <v>536</v>
      </c>
      <c r="M87" s="170"/>
      <c r="N87" s="61" t="s">
        <v>148</v>
      </c>
      <c r="O87" s="179">
        <v>0.25</v>
      </c>
    </row>
    <row r="88" spans="1:15">
      <c r="A88" s="2"/>
      <c r="B88" s="61" t="s">
        <v>1472</v>
      </c>
      <c r="C88" s="59">
        <v>884</v>
      </c>
      <c r="D88" s="59">
        <v>0</v>
      </c>
      <c r="E88" s="59">
        <v>100</v>
      </c>
      <c r="F88" s="59">
        <v>0</v>
      </c>
      <c r="G88" s="59">
        <v>0</v>
      </c>
      <c r="H88" s="59" t="s">
        <v>102</v>
      </c>
      <c r="I88" s="59">
        <v>14</v>
      </c>
      <c r="J88" s="59">
        <f t="shared" si="1"/>
        <v>7</v>
      </c>
      <c r="K88" s="172">
        <v>14</v>
      </c>
      <c r="L88" s="60" t="s">
        <v>536</v>
      </c>
      <c r="M88" s="170"/>
      <c r="N88" s="61" t="s">
        <v>97</v>
      </c>
      <c r="O88" s="179">
        <v>0.5</v>
      </c>
    </row>
    <row r="89" spans="1:15">
      <c r="A89" s="2"/>
      <c r="B89" s="61" t="s">
        <v>1465</v>
      </c>
      <c r="C89" s="59">
        <v>884</v>
      </c>
      <c r="D89" s="59">
        <v>0</v>
      </c>
      <c r="E89" s="59">
        <v>100</v>
      </c>
      <c r="F89" s="59">
        <v>0</v>
      </c>
      <c r="G89" s="59">
        <v>0</v>
      </c>
      <c r="H89" s="59" t="s">
        <v>102</v>
      </c>
      <c r="I89" s="59">
        <v>14</v>
      </c>
      <c r="J89" s="59">
        <f t="shared" si="1"/>
        <v>7</v>
      </c>
      <c r="K89" s="172">
        <v>14</v>
      </c>
      <c r="L89" s="60" t="s">
        <v>536</v>
      </c>
      <c r="M89" s="170"/>
      <c r="N89" s="61" t="s">
        <v>152</v>
      </c>
      <c r="O89" s="179">
        <v>0.33</v>
      </c>
    </row>
    <row r="90" spans="1:15">
      <c r="A90" s="2"/>
      <c r="B90" s="61" t="s">
        <v>1464</v>
      </c>
      <c r="C90" s="59">
        <v>884</v>
      </c>
      <c r="D90" s="59">
        <v>0</v>
      </c>
      <c r="E90" s="59">
        <v>100</v>
      </c>
      <c r="F90" s="59">
        <v>0</v>
      </c>
      <c r="G90" s="59">
        <v>0</v>
      </c>
      <c r="H90" s="59" t="s">
        <v>102</v>
      </c>
      <c r="I90" s="59">
        <v>14</v>
      </c>
      <c r="J90" s="59">
        <f t="shared" si="1"/>
        <v>7</v>
      </c>
      <c r="K90" s="172">
        <v>14</v>
      </c>
      <c r="L90" s="60" t="s">
        <v>536</v>
      </c>
      <c r="M90" s="170"/>
      <c r="N90" s="61" t="s">
        <v>150</v>
      </c>
      <c r="O90" s="179">
        <v>0.125</v>
      </c>
    </row>
    <row r="91" spans="1:15">
      <c r="A91" s="2"/>
      <c r="B91" s="61" t="s">
        <v>1467</v>
      </c>
      <c r="C91" s="59">
        <v>884</v>
      </c>
      <c r="D91" s="59">
        <v>0</v>
      </c>
      <c r="E91" s="59">
        <v>100</v>
      </c>
      <c r="F91" s="59">
        <v>0</v>
      </c>
      <c r="G91" s="59">
        <v>0</v>
      </c>
      <c r="H91" s="59" t="s">
        <v>102</v>
      </c>
      <c r="I91" s="59">
        <v>14</v>
      </c>
      <c r="J91" s="59">
        <f t="shared" si="1"/>
        <v>7</v>
      </c>
      <c r="K91" s="172">
        <v>14</v>
      </c>
      <c r="L91" s="60" t="s">
        <v>536</v>
      </c>
      <c r="M91" s="170"/>
      <c r="N91" s="61" t="s">
        <v>332</v>
      </c>
      <c r="O91" s="179">
        <v>0.2</v>
      </c>
    </row>
    <row r="92" spans="1:15">
      <c r="A92" s="2"/>
      <c r="B92" s="61" t="s">
        <v>1460</v>
      </c>
      <c r="C92" s="59">
        <v>884</v>
      </c>
      <c r="D92" s="59">
        <v>0</v>
      </c>
      <c r="E92" s="59">
        <v>100</v>
      </c>
      <c r="F92" s="59">
        <v>0</v>
      </c>
      <c r="G92" s="59">
        <v>0</v>
      </c>
      <c r="H92" s="59" t="s">
        <v>102</v>
      </c>
      <c r="I92" s="59">
        <v>14</v>
      </c>
      <c r="J92" s="59">
        <f t="shared" si="1"/>
        <v>7</v>
      </c>
      <c r="K92" s="172">
        <v>14</v>
      </c>
      <c r="L92" s="60" t="s">
        <v>536</v>
      </c>
      <c r="M92" s="170"/>
      <c r="N92" s="61" t="s">
        <v>153</v>
      </c>
      <c r="O92" s="179">
        <v>0.2</v>
      </c>
    </row>
    <row r="93" spans="1:15">
      <c r="A93" s="2"/>
      <c r="B93" s="61" t="s">
        <v>398</v>
      </c>
      <c r="C93" s="59">
        <v>334</v>
      </c>
      <c r="D93" s="59">
        <v>0.6</v>
      </c>
      <c r="E93" s="59">
        <v>32.9</v>
      </c>
      <c r="F93" s="59">
        <v>8.5</v>
      </c>
      <c r="G93" s="59">
        <v>0.1</v>
      </c>
      <c r="H93" s="59" t="s">
        <v>102</v>
      </c>
      <c r="I93" s="59">
        <v>15</v>
      </c>
      <c r="J93" s="62">
        <f t="shared" si="1"/>
        <v>7.5</v>
      </c>
      <c r="K93" s="172">
        <v>15</v>
      </c>
      <c r="L93" s="60" t="s">
        <v>536</v>
      </c>
      <c r="M93" s="170"/>
      <c r="N93" s="61" t="s">
        <v>333</v>
      </c>
      <c r="O93" s="179">
        <v>0.33</v>
      </c>
    </row>
    <row r="94" spans="1:15">
      <c r="A94" s="2"/>
      <c r="B94" s="61" t="s">
        <v>399</v>
      </c>
      <c r="C94" s="59">
        <v>231</v>
      </c>
      <c r="D94" s="59">
        <v>0.6</v>
      </c>
      <c r="E94" s="59">
        <v>18.600000000000001</v>
      </c>
      <c r="F94" s="59">
        <v>14.4</v>
      </c>
      <c r="G94" s="59">
        <v>0.1</v>
      </c>
      <c r="H94" s="59" t="s">
        <v>102</v>
      </c>
      <c r="I94" s="59">
        <v>16</v>
      </c>
      <c r="J94" s="62">
        <f t="shared" si="1"/>
        <v>8</v>
      </c>
      <c r="K94" s="172">
        <v>16</v>
      </c>
      <c r="L94" s="60" t="s">
        <v>536</v>
      </c>
      <c r="M94" s="170"/>
      <c r="N94" s="61" t="s">
        <v>70</v>
      </c>
      <c r="O94" s="179">
        <v>0.375</v>
      </c>
    </row>
    <row r="95" spans="1:15">
      <c r="A95" s="2"/>
      <c r="B95" s="61" t="s">
        <v>400</v>
      </c>
      <c r="C95" s="59">
        <v>510</v>
      </c>
      <c r="D95" s="59">
        <v>1.4</v>
      </c>
      <c r="E95" s="59">
        <v>53.7</v>
      </c>
      <c r="F95" s="59">
        <v>4.5999999999999996</v>
      </c>
      <c r="G95" s="59">
        <v>0.3</v>
      </c>
      <c r="H95" s="59" t="s">
        <v>102</v>
      </c>
      <c r="I95" s="59">
        <v>15</v>
      </c>
      <c r="J95" s="62">
        <f t="shared" si="1"/>
        <v>7.5</v>
      </c>
      <c r="K95" s="172">
        <v>15</v>
      </c>
      <c r="L95" s="60" t="s">
        <v>536</v>
      </c>
      <c r="M95" s="170"/>
      <c r="N95" s="61" t="s">
        <v>335</v>
      </c>
      <c r="O95" s="179">
        <v>0.6</v>
      </c>
    </row>
    <row r="96" spans="1:15">
      <c r="A96" s="2"/>
      <c r="B96" s="61" t="s">
        <v>401</v>
      </c>
      <c r="C96" s="59">
        <v>351</v>
      </c>
      <c r="D96" s="59">
        <v>0.3</v>
      </c>
      <c r="E96" s="59">
        <v>35.9</v>
      </c>
      <c r="F96" s="59">
        <v>5.7</v>
      </c>
      <c r="G96" s="59">
        <v>0.5</v>
      </c>
      <c r="H96" s="59" t="s">
        <v>102</v>
      </c>
      <c r="I96" s="59">
        <v>15</v>
      </c>
      <c r="J96" s="62">
        <f t="shared" si="1"/>
        <v>7.5</v>
      </c>
      <c r="K96" s="172">
        <v>15</v>
      </c>
      <c r="L96" s="60" t="s">
        <v>536</v>
      </c>
      <c r="M96" s="170"/>
      <c r="N96" s="61" t="s">
        <v>330</v>
      </c>
      <c r="O96" s="179">
        <v>0.1875</v>
      </c>
    </row>
    <row r="97" spans="1:15">
      <c r="A97" s="2"/>
      <c r="B97" s="61" t="s">
        <v>53</v>
      </c>
      <c r="C97" s="59">
        <v>370</v>
      </c>
      <c r="D97" s="59">
        <v>1.0900000000000001</v>
      </c>
      <c r="E97" s="59">
        <v>35.06</v>
      </c>
      <c r="F97" s="59">
        <v>14.64</v>
      </c>
      <c r="G97" s="59">
        <v>0.8</v>
      </c>
      <c r="H97" s="59" t="s">
        <v>102</v>
      </c>
      <c r="I97" s="59">
        <v>16</v>
      </c>
      <c r="J97" s="59">
        <f t="shared" si="1"/>
        <v>8</v>
      </c>
      <c r="K97" s="172">
        <v>16</v>
      </c>
      <c r="L97" s="60" t="s">
        <v>536</v>
      </c>
      <c r="M97" s="170"/>
      <c r="N97" s="61" t="s">
        <v>331</v>
      </c>
      <c r="O97" s="179">
        <v>0.16700000000000001</v>
      </c>
    </row>
    <row r="98" spans="1:15">
      <c r="A98" s="2"/>
      <c r="B98" s="61" t="s">
        <v>393</v>
      </c>
      <c r="C98" s="59">
        <v>528</v>
      </c>
      <c r="D98" s="59">
        <v>1.2</v>
      </c>
      <c r="E98" s="59">
        <v>57.7</v>
      </c>
      <c r="F98" s="59">
        <v>3.1</v>
      </c>
      <c r="G98" s="59">
        <v>0.1</v>
      </c>
      <c r="H98" s="59" t="s">
        <v>102</v>
      </c>
      <c r="I98" s="59">
        <v>15</v>
      </c>
      <c r="J98" s="59">
        <f t="shared" si="1"/>
        <v>7.5</v>
      </c>
      <c r="K98" s="172">
        <v>15</v>
      </c>
      <c r="L98" s="60" t="s">
        <v>536</v>
      </c>
      <c r="M98" s="170"/>
      <c r="N98" s="61" t="s">
        <v>162</v>
      </c>
      <c r="O98" s="179">
        <v>0.375</v>
      </c>
    </row>
    <row r="99" spans="1:15">
      <c r="A99" s="2"/>
      <c r="B99" s="61" t="s">
        <v>396</v>
      </c>
      <c r="C99" s="59">
        <v>138</v>
      </c>
      <c r="D99" s="59">
        <v>0.7</v>
      </c>
      <c r="E99" s="59">
        <v>1</v>
      </c>
      <c r="F99" s="59">
        <v>30.6</v>
      </c>
      <c r="G99" s="59">
        <v>0.6</v>
      </c>
      <c r="H99" s="59" t="s">
        <v>102</v>
      </c>
      <c r="I99" s="59">
        <v>16</v>
      </c>
      <c r="J99" s="62">
        <f t="shared" si="1"/>
        <v>8</v>
      </c>
      <c r="K99" s="172">
        <v>16</v>
      </c>
      <c r="L99" s="60" t="s">
        <v>536</v>
      </c>
      <c r="M99" s="170"/>
      <c r="N99" s="61" t="s">
        <v>156</v>
      </c>
      <c r="O99" s="179">
        <v>0.5</v>
      </c>
    </row>
    <row r="100" spans="1:15">
      <c r="A100" s="2"/>
      <c r="B100" s="61" t="s">
        <v>392</v>
      </c>
      <c r="C100" s="59">
        <v>457</v>
      </c>
      <c r="D100" s="59">
        <v>0.77</v>
      </c>
      <c r="E100" s="59">
        <v>44.81</v>
      </c>
      <c r="F100" s="59">
        <v>15.58</v>
      </c>
      <c r="G100" s="59">
        <v>0</v>
      </c>
      <c r="H100" s="59" t="s">
        <v>102</v>
      </c>
      <c r="I100" s="59">
        <v>16</v>
      </c>
      <c r="J100" s="59">
        <f t="shared" si="1"/>
        <v>8</v>
      </c>
      <c r="K100" s="172">
        <v>16</v>
      </c>
      <c r="L100" s="60" t="s">
        <v>536</v>
      </c>
      <c r="M100" s="170"/>
      <c r="N100" s="61" t="s">
        <v>334</v>
      </c>
      <c r="O100" s="179">
        <v>0.125</v>
      </c>
    </row>
    <row r="101" spans="1:15">
      <c r="A101" s="2"/>
      <c r="B101" s="61" t="s">
        <v>391</v>
      </c>
      <c r="C101" s="59">
        <v>232</v>
      </c>
      <c r="D101" s="59">
        <v>0.57999999999999996</v>
      </c>
      <c r="E101" s="59">
        <v>13.46</v>
      </c>
      <c r="F101" s="59">
        <v>29.28</v>
      </c>
      <c r="G101" s="59">
        <v>1.1000000000000001</v>
      </c>
      <c r="H101" s="59" t="s">
        <v>102</v>
      </c>
      <c r="I101" s="59">
        <v>16</v>
      </c>
      <c r="J101" s="59">
        <f t="shared" si="1"/>
        <v>8</v>
      </c>
      <c r="K101" s="172">
        <v>16</v>
      </c>
      <c r="L101" s="60" t="s">
        <v>536</v>
      </c>
      <c r="M101" s="170"/>
      <c r="N101" s="61" t="s">
        <v>1153</v>
      </c>
      <c r="O101" s="181">
        <v>0.5</v>
      </c>
    </row>
    <row r="102" spans="1:15">
      <c r="A102" s="2"/>
      <c r="B102" s="61" t="s">
        <v>394</v>
      </c>
      <c r="C102" s="59">
        <v>207</v>
      </c>
      <c r="D102" s="59">
        <v>0.98</v>
      </c>
      <c r="E102" s="59">
        <v>10</v>
      </c>
      <c r="F102" s="59">
        <v>29.27</v>
      </c>
      <c r="G102" s="59">
        <v>0.8</v>
      </c>
      <c r="H102" s="59" t="s">
        <v>102</v>
      </c>
      <c r="I102" s="59">
        <v>15</v>
      </c>
      <c r="J102" s="62">
        <f t="shared" si="1"/>
        <v>7.5</v>
      </c>
      <c r="K102" s="172">
        <v>15</v>
      </c>
      <c r="L102" s="60" t="s">
        <v>536</v>
      </c>
      <c r="M102" s="170"/>
      <c r="N102" s="61" t="s">
        <v>1062</v>
      </c>
      <c r="O102" s="179">
        <v>0.5</v>
      </c>
    </row>
    <row r="103" spans="1:15">
      <c r="A103" s="2"/>
      <c r="B103" s="61" t="s">
        <v>395</v>
      </c>
      <c r="C103" s="59">
        <v>291</v>
      </c>
      <c r="D103" s="59">
        <v>0.38</v>
      </c>
      <c r="E103" s="59">
        <v>28.37</v>
      </c>
      <c r="F103" s="59">
        <v>10.43</v>
      </c>
      <c r="G103" s="59">
        <v>0</v>
      </c>
      <c r="H103" s="59" t="s">
        <v>102</v>
      </c>
      <c r="I103" s="59">
        <v>15</v>
      </c>
      <c r="J103" s="59">
        <f t="shared" si="1"/>
        <v>7.5</v>
      </c>
      <c r="K103" s="172">
        <v>15</v>
      </c>
      <c r="L103" s="60" t="s">
        <v>536</v>
      </c>
      <c r="M103" s="170"/>
      <c r="N103" s="61" t="s">
        <v>939</v>
      </c>
      <c r="O103" s="179">
        <v>0.5</v>
      </c>
    </row>
    <row r="104" spans="1:15">
      <c r="A104" s="2"/>
      <c r="B104" s="61" t="s">
        <v>397</v>
      </c>
      <c r="C104" s="59">
        <v>70</v>
      </c>
      <c r="D104" s="59">
        <v>0.2</v>
      </c>
      <c r="E104" s="59">
        <v>2.7</v>
      </c>
      <c r="F104" s="59">
        <v>12.4</v>
      </c>
      <c r="G104" s="59">
        <v>2</v>
      </c>
      <c r="H104" s="59" t="s">
        <v>102</v>
      </c>
      <c r="I104" s="59">
        <v>16</v>
      </c>
      <c r="J104" s="62">
        <f t="shared" si="1"/>
        <v>8</v>
      </c>
      <c r="K104" s="172">
        <v>16</v>
      </c>
      <c r="L104" s="60" t="s">
        <v>536</v>
      </c>
      <c r="M104" s="170"/>
      <c r="N104" s="61" t="s">
        <v>1458</v>
      </c>
      <c r="O104" s="179">
        <v>0.5</v>
      </c>
    </row>
    <row r="105" spans="1:15">
      <c r="A105" s="2"/>
      <c r="B105" s="61" t="s">
        <v>402</v>
      </c>
      <c r="C105" s="59">
        <v>390</v>
      </c>
      <c r="D105" s="59">
        <v>0.9</v>
      </c>
      <c r="E105" s="59">
        <v>33.4</v>
      </c>
      <c r="F105" s="59">
        <v>23.9</v>
      </c>
      <c r="G105" s="59">
        <v>0</v>
      </c>
      <c r="H105" s="59" t="s">
        <v>102</v>
      </c>
      <c r="I105" s="59">
        <v>15</v>
      </c>
      <c r="J105" s="59">
        <f t="shared" si="1"/>
        <v>7.5</v>
      </c>
      <c r="K105" s="172">
        <v>15</v>
      </c>
      <c r="L105" s="60" t="s">
        <v>536</v>
      </c>
      <c r="M105" s="170"/>
      <c r="N105" s="61" t="s">
        <v>1454</v>
      </c>
      <c r="O105" s="179">
        <v>0.5</v>
      </c>
    </row>
    <row r="106" spans="1:15">
      <c r="A106" s="2"/>
      <c r="B106" s="61" t="s">
        <v>403</v>
      </c>
      <c r="C106" s="59">
        <v>718</v>
      </c>
      <c r="D106" s="59">
        <v>0.9</v>
      </c>
      <c r="E106" s="59">
        <v>79.39</v>
      </c>
      <c r="F106" s="59">
        <v>3.16</v>
      </c>
      <c r="G106" s="59">
        <v>0</v>
      </c>
      <c r="H106" s="59" t="s">
        <v>102</v>
      </c>
      <c r="I106" s="59">
        <v>14</v>
      </c>
      <c r="J106" s="59">
        <f t="shared" si="1"/>
        <v>7</v>
      </c>
      <c r="K106" s="172">
        <v>14</v>
      </c>
      <c r="L106" s="60" t="s">
        <v>536</v>
      </c>
      <c r="M106" s="170"/>
      <c r="N106" s="61" t="s">
        <v>1160</v>
      </c>
      <c r="O106" s="179">
        <v>0.125</v>
      </c>
    </row>
    <row r="107" spans="1:15">
      <c r="A107" s="2"/>
      <c r="B107" s="61" t="s">
        <v>404</v>
      </c>
      <c r="C107" s="59">
        <v>355</v>
      </c>
      <c r="D107" s="59">
        <v>1.6</v>
      </c>
      <c r="E107" s="59">
        <v>26.18</v>
      </c>
      <c r="F107" s="59">
        <v>31.01</v>
      </c>
      <c r="G107" s="59">
        <v>2.2000000000000002</v>
      </c>
      <c r="H107" s="59" t="s">
        <v>102</v>
      </c>
      <c r="I107" s="59">
        <v>15</v>
      </c>
      <c r="J107" s="59">
        <f t="shared" si="1"/>
        <v>7.5</v>
      </c>
      <c r="K107" s="172">
        <v>15</v>
      </c>
      <c r="L107" s="60" t="s">
        <v>536</v>
      </c>
      <c r="M107" s="170"/>
      <c r="N107" s="61" t="s">
        <v>940</v>
      </c>
      <c r="O107" s="179">
        <v>0.5</v>
      </c>
    </row>
    <row r="108" spans="1:15">
      <c r="A108" s="2"/>
      <c r="B108" s="61" t="s">
        <v>405</v>
      </c>
      <c r="C108" s="59">
        <v>443</v>
      </c>
      <c r="D108" s="59">
        <v>3.1</v>
      </c>
      <c r="E108" s="59">
        <v>45.2</v>
      </c>
      <c r="F108" s="59">
        <v>8.6</v>
      </c>
      <c r="G108" s="59">
        <v>1</v>
      </c>
      <c r="H108" s="59" t="s">
        <v>102</v>
      </c>
      <c r="I108" s="59">
        <v>15</v>
      </c>
      <c r="J108" s="59">
        <f t="shared" si="1"/>
        <v>7.5</v>
      </c>
      <c r="K108" s="172">
        <v>15</v>
      </c>
      <c r="L108" s="60" t="s">
        <v>536</v>
      </c>
      <c r="M108" s="170"/>
      <c r="N108" s="61" t="s">
        <v>941</v>
      </c>
      <c r="O108" s="179">
        <v>0.5</v>
      </c>
    </row>
    <row r="109" spans="1:15">
      <c r="A109" s="2"/>
      <c r="B109" s="61" t="s">
        <v>30</v>
      </c>
      <c r="C109" s="59">
        <v>884</v>
      </c>
      <c r="D109" s="59">
        <v>0</v>
      </c>
      <c r="E109" s="59">
        <v>100</v>
      </c>
      <c r="F109" s="59">
        <v>0</v>
      </c>
      <c r="G109" s="59">
        <v>0</v>
      </c>
      <c r="H109" s="59" t="s">
        <v>102</v>
      </c>
      <c r="I109" s="59">
        <v>13</v>
      </c>
      <c r="J109" s="59">
        <f t="shared" si="1"/>
        <v>6.5</v>
      </c>
      <c r="K109" s="172">
        <v>13</v>
      </c>
      <c r="L109" s="60" t="s">
        <v>536</v>
      </c>
      <c r="M109" s="170"/>
      <c r="N109" s="61" t="s">
        <v>942</v>
      </c>
      <c r="O109" s="179">
        <v>0.5</v>
      </c>
    </row>
    <row r="110" spans="1:15">
      <c r="A110" s="2"/>
      <c r="B110" s="61" t="s">
        <v>1473</v>
      </c>
      <c r="C110" s="59">
        <v>884</v>
      </c>
      <c r="D110" s="59">
        <v>0</v>
      </c>
      <c r="E110" s="59">
        <v>100</v>
      </c>
      <c r="F110" s="59">
        <v>0</v>
      </c>
      <c r="G110" s="59">
        <v>0</v>
      </c>
      <c r="H110" s="59" t="s">
        <v>102</v>
      </c>
      <c r="I110" s="59">
        <v>14</v>
      </c>
      <c r="J110" s="109">
        <f t="shared" si="1"/>
        <v>7</v>
      </c>
      <c r="K110" s="172">
        <v>14</v>
      </c>
      <c r="L110" s="60" t="s">
        <v>536</v>
      </c>
      <c r="M110" s="170"/>
      <c r="N110" s="61" t="s">
        <v>1180</v>
      </c>
      <c r="O110" s="179">
        <v>0.5</v>
      </c>
    </row>
    <row r="111" spans="1:15" ht="13.5" thickBot="1">
      <c r="A111" s="2"/>
      <c r="B111" s="63" t="s">
        <v>1462</v>
      </c>
      <c r="C111" s="64">
        <v>862</v>
      </c>
      <c r="D111" s="64">
        <v>0</v>
      </c>
      <c r="E111" s="64">
        <v>100</v>
      </c>
      <c r="F111" s="64">
        <v>0</v>
      </c>
      <c r="G111" s="64">
        <v>0</v>
      </c>
      <c r="H111" s="64" t="s">
        <v>102</v>
      </c>
      <c r="I111" s="64">
        <v>14</v>
      </c>
      <c r="J111" s="64">
        <f t="shared" si="1"/>
        <v>7</v>
      </c>
      <c r="K111" s="173">
        <v>14</v>
      </c>
      <c r="L111" s="70" t="s">
        <v>536</v>
      </c>
      <c r="M111" s="170"/>
      <c r="N111" s="61" t="s">
        <v>1282</v>
      </c>
      <c r="O111" s="179">
        <v>0.125</v>
      </c>
    </row>
    <row r="112" spans="1:15" ht="14.25" thickTop="1" thickBot="1">
      <c r="M112" s="170"/>
      <c r="N112" s="61" t="s">
        <v>943</v>
      </c>
      <c r="O112" s="179">
        <v>0.1</v>
      </c>
    </row>
    <row r="113" spans="1:15" ht="18.75" thickTop="1">
      <c r="B113" s="66" t="s">
        <v>1255</v>
      </c>
      <c r="C113" s="67" t="s">
        <v>1474</v>
      </c>
      <c r="D113" s="68" t="s">
        <v>99</v>
      </c>
      <c r="E113" s="67" t="s">
        <v>1475</v>
      </c>
      <c r="F113" s="67" t="s">
        <v>1476</v>
      </c>
      <c r="G113" s="67" t="s">
        <v>1477</v>
      </c>
      <c r="H113" s="68" t="s">
        <v>918</v>
      </c>
      <c r="I113" s="68" t="s">
        <v>919</v>
      </c>
      <c r="J113" s="67" t="s">
        <v>467</v>
      </c>
      <c r="K113" s="67" t="s">
        <v>203</v>
      </c>
      <c r="L113" s="69"/>
      <c r="M113" s="170"/>
      <c r="N113" s="61" t="s">
        <v>1280</v>
      </c>
      <c r="O113" s="181">
        <v>1</v>
      </c>
    </row>
    <row r="114" spans="1:15">
      <c r="A114" s="2"/>
      <c r="B114" s="61" t="s">
        <v>407</v>
      </c>
      <c r="C114" s="59">
        <v>110</v>
      </c>
      <c r="D114" s="59">
        <v>23.09</v>
      </c>
      <c r="E114" s="59">
        <v>1.24</v>
      </c>
      <c r="F114" s="59">
        <v>0</v>
      </c>
      <c r="G114" s="59">
        <v>0</v>
      </c>
      <c r="H114" s="59" t="s">
        <v>923</v>
      </c>
      <c r="I114" s="59">
        <v>142</v>
      </c>
      <c r="J114" s="109">
        <f t="shared" ref="J114:J154" si="2">I114*VLOOKUP(H114,Fractional,2,FALSE)</f>
        <v>14.200000000000001</v>
      </c>
      <c r="K114" s="172">
        <v>28.4</v>
      </c>
      <c r="L114" s="145" t="s">
        <v>554</v>
      </c>
      <c r="M114" s="170"/>
      <c r="N114" s="61" t="s">
        <v>77</v>
      </c>
      <c r="O114" s="179">
        <v>0.125</v>
      </c>
    </row>
    <row r="115" spans="1:15">
      <c r="A115" s="2"/>
      <c r="B115" s="61" t="s">
        <v>406</v>
      </c>
      <c r="C115" s="59">
        <v>119</v>
      </c>
      <c r="D115" s="59">
        <v>20.59</v>
      </c>
      <c r="E115" s="59">
        <v>3.42</v>
      </c>
      <c r="F115" s="59">
        <v>0</v>
      </c>
      <c r="G115" s="59">
        <v>0</v>
      </c>
      <c r="H115" s="59" t="s">
        <v>924</v>
      </c>
      <c r="I115" s="59">
        <v>62</v>
      </c>
      <c r="J115" s="109">
        <f t="shared" si="2"/>
        <v>31</v>
      </c>
      <c r="K115" s="172">
        <v>62</v>
      </c>
      <c r="L115" s="60" t="s">
        <v>540</v>
      </c>
      <c r="M115" s="170"/>
      <c r="N115" s="61" t="s">
        <v>168</v>
      </c>
      <c r="O115" s="179">
        <v>0.125</v>
      </c>
    </row>
    <row r="116" spans="1:15">
      <c r="A116" s="2"/>
      <c r="B116" s="61" t="s">
        <v>186</v>
      </c>
      <c r="C116" s="59">
        <v>143</v>
      </c>
      <c r="D116" s="59">
        <v>17.440000000000001</v>
      </c>
      <c r="E116" s="59">
        <v>8.1</v>
      </c>
      <c r="F116" s="59">
        <v>0.04</v>
      </c>
      <c r="G116" s="59">
        <v>0</v>
      </c>
      <c r="H116" s="59" t="s">
        <v>925</v>
      </c>
      <c r="I116" s="59">
        <v>114</v>
      </c>
      <c r="J116" s="110">
        <f t="shared" si="2"/>
        <v>57</v>
      </c>
      <c r="K116" s="172">
        <v>456</v>
      </c>
      <c r="L116" s="131" t="s">
        <v>555</v>
      </c>
      <c r="M116" s="170"/>
      <c r="N116" s="61" t="s">
        <v>80</v>
      </c>
      <c r="O116" s="179">
        <v>0.125</v>
      </c>
    </row>
    <row r="117" spans="1:15">
      <c r="A117" s="2"/>
      <c r="B117" s="61" t="s">
        <v>408</v>
      </c>
      <c r="C117" s="59">
        <v>132</v>
      </c>
      <c r="D117" s="59">
        <v>18.28</v>
      </c>
      <c r="E117" s="59">
        <v>5.95</v>
      </c>
      <c r="F117" s="59">
        <v>0</v>
      </c>
      <c r="G117" s="59">
        <v>0</v>
      </c>
      <c r="H117" s="59" t="s">
        <v>923</v>
      </c>
      <c r="I117" s="59">
        <v>142</v>
      </c>
      <c r="J117" s="109">
        <f t="shared" si="2"/>
        <v>14.200000000000001</v>
      </c>
      <c r="K117" s="172">
        <v>28.4</v>
      </c>
      <c r="L117" s="60" t="s">
        <v>554</v>
      </c>
      <c r="M117" s="170"/>
      <c r="N117" s="61" t="s">
        <v>944</v>
      </c>
      <c r="O117" s="179">
        <v>0.25</v>
      </c>
    </row>
    <row r="118" spans="1:15">
      <c r="A118" s="2"/>
      <c r="B118" s="61" t="s">
        <v>1418</v>
      </c>
      <c r="C118" s="59">
        <v>382</v>
      </c>
      <c r="D118" s="59">
        <v>30</v>
      </c>
      <c r="E118" s="59">
        <v>28</v>
      </c>
      <c r="F118" s="59">
        <v>3</v>
      </c>
      <c r="G118" s="59">
        <v>0</v>
      </c>
      <c r="H118" s="59" t="s">
        <v>926</v>
      </c>
      <c r="I118" s="59">
        <v>44</v>
      </c>
      <c r="J118" s="109">
        <f t="shared" si="2"/>
        <v>11</v>
      </c>
      <c r="K118" s="172">
        <v>22</v>
      </c>
      <c r="L118" s="131" t="s">
        <v>556</v>
      </c>
      <c r="M118" s="170"/>
      <c r="N118" s="61" t="s">
        <v>78</v>
      </c>
      <c r="O118" s="179">
        <v>0.125</v>
      </c>
    </row>
    <row r="119" spans="1:15">
      <c r="A119" s="2"/>
      <c r="B119" s="61" t="s">
        <v>187</v>
      </c>
      <c r="C119" s="59">
        <v>111</v>
      </c>
      <c r="D119" s="59">
        <v>24.6</v>
      </c>
      <c r="E119" s="59">
        <v>0.65</v>
      </c>
      <c r="F119" s="59">
        <v>0</v>
      </c>
      <c r="G119" s="59">
        <v>0</v>
      </c>
      <c r="H119" s="59" t="s">
        <v>923</v>
      </c>
      <c r="I119" s="59">
        <v>142</v>
      </c>
      <c r="J119" s="109">
        <f t="shared" si="2"/>
        <v>14.200000000000001</v>
      </c>
      <c r="K119" s="172">
        <v>28.4</v>
      </c>
      <c r="L119" s="60" t="s">
        <v>554</v>
      </c>
      <c r="M119" s="170"/>
      <c r="N119" s="61" t="s">
        <v>169</v>
      </c>
      <c r="O119" s="179">
        <v>0.5</v>
      </c>
    </row>
    <row r="120" spans="1:15">
      <c r="A120" s="2"/>
      <c r="B120" s="61" t="s">
        <v>188</v>
      </c>
      <c r="C120" s="59">
        <v>149</v>
      </c>
      <c r="D120" s="59">
        <v>17.46</v>
      </c>
      <c r="E120" s="59">
        <v>8.26</v>
      </c>
      <c r="F120" s="59">
        <v>0</v>
      </c>
      <c r="G120" s="59">
        <v>0</v>
      </c>
      <c r="H120" s="59" t="s">
        <v>925</v>
      </c>
      <c r="I120" s="59">
        <v>114</v>
      </c>
      <c r="J120" s="109">
        <f t="shared" si="2"/>
        <v>57</v>
      </c>
      <c r="K120" s="172">
        <v>456</v>
      </c>
      <c r="L120" s="131" t="s">
        <v>555</v>
      </c>
      <c r="M120" s="170"/>
      <c r="N120" s="61" t="s">
        <v>378</v>
      </c>
      <c r="O120" s="179">
        <v>0.125</v>
      </c>
    </row>
    <row r="121" spans="1:15">
      <c r="A121" s="2"/>
      <c r="B121" s="61" t="s">
        <v>61</v>
      </c>
      <c r="C121" s="59">
        <v>172</v>
      </c>
      <c r="D121" s="59">
        <v>20.85</v>
      </c>
      <c r="E121" s="59">
        <v>9.25</v>
      </c>
      <c r="F121" s="59">
        <v>0</v>
      </c>
      <c r="G121" s="59">
        <v>0</v>
      </c>
      <c r="H121" s="59" t="s">
        <v>923</v>
      </c>
      <c r="I121" s="59">
        <v>142</v>
      </c>
      <c r="J121" s="109">
        <f t="shared" si="2"/>
        <v>14.200000000000001</v>
      </c>
      <c r="K121" s="172">
        <v>28.4</v>
      </c>
      <c r="L121" s="60" t="s">
        <v>554</v>
      </c>
      <c r="M121" s="170"/>
      <c r="N121" s="61" t="s">
        <v>1449</v>
      </c>
      <c r="O121" s="179">
        <v>0.125</v>
      </c>
    </row>
    <row r="122" spans="1:15">
      <c r="A122" s="2"/>
      <c r="B122" s="61" t="s">
        <v>62</v>
      </c>
      <c r="C122" s="59">
        <v>161</v>
      </c>
      <c r="D122" s="59">
        <v>19.27</v>
      </c>
      <c r="E122" s="59">
        <v>8.68</v>
      </c>
      <c r="F122" s="59">
        <v>0</v>
      </c>
      <c r="G122" s="59">
        <v>0</v>
      </c>
      <c r="H122" s="59" t="s">
        <v>924</v>
      </c>
      <c r="I122" s="59">
        <v>73</v>
      </c>
      <c r="J122" s="109">
        <f t="shared" si="2"/>
        <v>36.5</v>
      </c>
      <c r="K122" s="172">
        <v>73</v>
      </c>
      <c r="L122" s="60" t="s">
        <v>540</v>
      </c>
      <c r="M122" s="170"/>
      <c r="N122" s="61" t="s">
        <v>976</v>
      </c>
      <c r="O122" s="179">
        <v>0.25</v>
      </c>
    </row>
    <row r="123" spans="1:15">
      <c r="A123" s="2"/>
      <c r="B123" s="61" t="s">
        <v>63</v>
      </c>
      <c r="C123" s="59">
        <v>297</v>
      </c>
      <c r="D123" s="59">
        <v>14.07</v>
      </c>
      <c r="E123" s="59">
        <v>26.24</v>
      </c>
      <c r="F123" s="59">
        <v>0</v>
      </c>
      <c r="G123" s="59">
        <v>0</v>
      </c>
      <c r="H123" s="59" t="s">
        <v>927</v>
      </c>
      <c r="I123" s="59">
        <v>50</v>
      </c>
      <c r="J123" s="109">
        <f t="shared" si="2"/>
        <v>25</v>
      </c>
      <c r="K123" s="172">
        <v>50</v>
      </c>
      <c r="L123" s="60" t="s">
        <v>541</v>
      </c>
      <c r="M123" s="170"/>
      <c r="N123" s="61" t="s">
        <v>978</v>
      </c>
      <c r="O123" s="179">
        <v>0.125</v>
      </c>
    </row>
    <row r="124" spans="1:15">
      <c r="A124" s="2"/>
      <c r="B124" s="61" t="s">
        <v>409</v>
      </c>
      <c r="C124" s="59">
        <v>276</v>
      </c>
      <c r="D124" s="59">
        <v>13.89</v>
      </c>
      <c r="E124" s="59">
        <v>18.059999999999999</v>
      </c>
      <c r="F124" s="59">
        <v>14.38</v>
      </c>
      <c r="G124" s="59">
        <v>2.4</v>
      </c>
      <c r="H124" s="59" t="s">
        <v>928</v>
      </c>
      <c r="I124" s="59">
        <v>25</v>
      </c>
      <c r="J124" s="110">
        <f t="shared" si="2"/>
        <v>12.5</v>
      </c>
      <c r="K124" s="172">
        <v>25</v>
      </c>
      <c r="L124" s="60" t="s">
        <v>542</v>
      </c>
      <c r="M124" s="170"/>
      <c r="N124" s="61" t="s">
        <v>76</v>
      </c>
      <c r="O124" s="179">
        <v>0.25</v>
      </c>
    </row>
    <row r="125" spans="1:15">
      <c r="A125" s="2"/>
      <c r="B125" s="61" t="s">
        <v>64</v>
      </c>
      <c r="C125" s="59">
        <v>211</v>
      </c>
      <c r="D125" s="59">
        <v>17.27</v>
      </c>
      <c r="E125" s="59">
        <v>15.25</v>
      </c>
      <c r="F125" s="59">
        <v>0</v>
      </c>
      <c r="G125" s="59">
        <v>0</v>
      </c>
      <c r="H125" s="59" t="s">
        <v>929</v>
      </c>
      <c r="I125" s="59">
        <v>94</v>
      </c>
      <c r="J125" s="109">
        <f t="shared" si="2"/>
        <v>47</v>
      </c>
      <c r="K125" s="172">
        <v>94</v>
      </c>
      <c r="L125" s="60" t="s">
        <v>543</v>
      </c>
      <c r="M125" s="170"/>
      <c r="N125" s="61" t="s">
        <v>283</v>
      </c>
      <c r="O125" s="179">
        <v>0.25</v>
      </c>
    </row>
    <row r="126" spans="1:15">
      <c r="A126" s="2"/>
      <c r="B126" s="61" t="s">
        <v>65</v>
      </c>
      <c r="C126" s="59">
        <v>222</v>
      </c>
      <c r="D126" s="59">
        <v>18.329999999999998</v>
      </c>
      <c r="E126" s="59">
        <v>15.97</v>
      </c>
      <c r="F126" s="59">
        <v>0</v>
      </c>
      <c r="G126" s="59">
        <v>0</v>
      </c>
      <c r="H126" s="59" t="s">
        <v>930</v>
      </c>
      <c r="I126" s="59">
        <v>49</v>
      </c>
      <c r="J126" s="109">
        <f t="shared" si="2"/>
        <v>24.5</v>
      </c>
      <c r="K126" s="172">
        <v>49</v>
      </c>
      <c r="L126" s="60" t="s">
        <v>544</v>
      </c>
      <c r="M126" s="170"/>
      <c r="N126" s="61" t="s">
        <v>945</v>
      </c>
      <c r="O126" s="179">
        <v>0.125</v>
      </c>
    </row>
    <row r="127" spans="1:15">
      <c r="A127" s="2"/>
      <c r="B127" s="61" t="s">
        <v>81</v>
      </c>
      <c r="C127" s="59">
        <v>184</v>
      </c>
      <c r="D127" s="59">
        <v>25.3</v>
      </c>
      <c r="E127" s="59">
        <v>8.1</v>
      </c>
      <c r="F127" s="59">
        <v>0.8</v>
      </c>
      <c r="G127" s="59">
        <v>0</v>
      </c>
      <c r="H127" s="59" t="s">
        <v>101</v>
      </c>
      <c r="I127" s="59">
        <v>205</v>
      </c>
      <c r="J127" s="109">
        <f t="shared" si="2"/>
        <v>25.625</v>
      </c>
      <c r="K127" s="172">
        <v>205</v>
      </c>
      <c r="L127" s="60" t="s">
        <v>512</v>
      </c>
      <c r="M127" s="170"/>
      <c r="N127" s="61" t="s">
        <v>278</v>
      </c>
      <c r="O127" s="179">
        <v>0.125</v>
      </c>
    </row>
    <row r="128" spans="1:15">
      <c r="A128" s="2"/>
      <c r="B128" s="61" t="s">
        <v>411</v>
      </c>
      <c r="C128" s="59">
        <v>200</v>
      </c>
      <c r="D128" s="59">
        <v>17.149999999999999</v>
      </c>
      <c r="E128" s="59">
        <v>14.02</v>
      </c>
      <c r="F128" s="59">
        <v>0</v>
      </c>
      <c r="G128" s="59">
        <v>0</v>
      </c>
      <c r="H128" s="59" t="s">
        <v>931</v>
      </c>
      <c r="I128" s="59">
        <v>168</v>
      </c>
      <c r="J128" s="110">
        <f t="shared" si="2"/>
        <v>84</v>
      </c>
      <c r="K128" s="172">
        <v>336</v>
      </c>
      <c r="L128" s="131" t="s">
        <v>557</v>
      </c>
      <c r="M128" s="170"/>
      <c r="N128" s="61" t="s">
        <v>289</v>
      </c>
      <c r="O128" s="179">
        <v>0.125</v>
      </c>
    </row>
    <row r="129" spans="1:15">
      <c r="A129" s="2"/>
      <c r="B129" s="61" t="s">
        <v>410</v>
      </c>
      <c r="C129" s="59">
        <v>116</v>
      </c>
      <c r="D129" s="59">
        <v>20.04</v>
      </c>
      <c r="E129" s="59">
        <v>3.33</v>
      </c>
      <c r="F129" s="59">
        <v>0</v>
      </c>
      <c r="G129" s="59">
        <v>0</v>
      </c>
      <c r="H129" s="59" t="s">
        <v>931</v>
      </c>
      <c r="I129" s="59">
        <v>120</v>
      </c>
      <c r="J129" s="109">
        <f t="shared" si="2"/>
        <v>60</v>
      </c>
      <c r="K129" s="172">
        <v>240</v>
      </c>
      <c r="L129" s="131" t="s">
        <v>557</v>
      </c>
      <c r="M129" s="170"/>
      <c r="N129" s="61" t="s">
        <v>293</v>
      </c>
      <c r="O129" s="179">
        <v>0.25</v>
      </c>
    </row>
    <row r="130" spans="1:15">
      <c r="A130" s="2"/>
      <c r="B130" s="61" t="s">
        <v>60</v>
      </c>
      <c r="C130" s="59">
        <v>124</v>
      </c>
      <c r="D130" s="59">
        <v>17.88</v>
      </c>
      <c r="E130" s="59">
        <v>4.47</v>
      </c>
      <c r="F130" s="59">
        <v>1.8</v>
      </c>
      <c r="G130" s="59">
        <v>0</v>
      </c>
      <c r="H130" s="59" t="s">
        <v>932</v>
      </c>
      <c r="I130" s="59">
        <v>75</v>
      </c>
      <c r="J130" s="109">
        <f t="shared" si="2"/>
        <v>75</v>
      </c>
      <c r="K130" s="172">
        <v>75</v>
      </c>
      <c r="L130" s="60" t="s">
        <v>545</v>
      </c>
      <c r="M130" s="170"/>
      <c r="N130" s="61" t="s">
        <v>295</v>
      </c>
      <c r="O130" s="179">
        <v>0.125</v>
      </c>
    </row>
    <row r="131" spans="1:15">
      <c r="A131" s="2"/>
      <c r="B131" s="61" t="s">
        <v>412</v>
      </c>
      <c r="C131" s="59">
        <v>94</v>
      </c>
      <c r="D131" s="59">
        <v>17.66</v>
      </c>
      <c r="E131" s="59">
        <v>2.06</v>
      </c>
      <c r="F131" s="59">
        <v>0</v>
      </c>
      <c r="G131" s="59">
        <v>0</v>
      </c>
      <c r="H131" s="59" t="s">
        <v>558</v>
      </c>
      <c r="I131" s="146">
        <v>75</v>
      </c>
      <c r="J131" s="109">
        <f t="shared" si="2"/>
        <v>75</v>
      </c>
      <c r="K131" s="172">
        <v>75</v>
      </c>
      <c r="L131" s="131" t="s">
        <v>559</v>
      </c>
      <c r="M131" s="170"/>
      <c r="N131" s="61" t="s">
        <v>298</v>
      </c>
      <c r="O131" s="179">
        <v>0.5</v>
      </c>
    </row>
    <row r="132" spans="1:15">
      <c r="A132" s="2"/>
      <c r="B132" s="61" t="s">
        <v>413</v>
      </c>
      <c r="C132" s="59">
        <v>201</v>
      </c>
      <c r="D132" s="59">
        <v>23.48</v>
      </c>
      <c r="E132" s="59">
        <v>11.2</v>
      </c>
      <c r="F132" s="59">
        <v>0</v>
      </c>
      <c r="G132" s="59">
        <v>0</v>
      </c>
      <c r="H132" s="59" t="s">
        <v>154</v>
      </c>
      <c r="I132" s="59">
        <v>140</v>
      </c>
      <c r="J132" s="109">
        <f t="shared" si="2"/>
        <v>35</v>
      </c>
      <c r="K132" s="172">
        <v>140</v>
      </c>
      <c r="L132" s="60" t="s">
        <v>512</v>
      </c>
      <c r="M132" s="170"/>
      <c r="N132" s="61" t="s">
        <v>269</v>
      </c>
      <c r="O132" s="179">
        <v>0.25</v>
      </c>
    </row>
    <row r="133" spans="1:15">
      <c r="A133" s="2"/>
      <c r="B133" s="61" t="s">
        <v>414</v>
      </c>
      <c r="C133" s="59">
        <v>404</v>
      </c>
      <c r="D133" s="59">
        <v>11.49</v>
      </c>
      <c r="E133" s="59">
        <v>39.340000000000003</v>
      </c>
      <c r="F133" s="59">
        <v>0</v>
      </c>
      <c r="G133" s="59">
        <v>0</v>
      </c>
      <c r="H133" s="59" t="s">
        <v>933</v>
      </c>
      <c r="I133" s="59">
        <v>634</v>
      </c>
      <c r="J133" s="109">
        <f t="shared" si="2"/>
        <v>317</v>
      </c>
      <c r="K133" s="172">
        <v>1268</v>
      </c>
      <c r="L133" s="131" t="s">
        <v>206</v>
      </c>
      <c r="M133" s="170"/>
      <c r="N133" s="61" t="s">
        <v>946</v>
      </c>
      <c r="O133" s="179">
        <v>0.25</v>
      </c>
    </row>
    <row r="134" spans="1:15">
      <c r="A134" s="2"/>
      <c r="B134" s="61" t="s">
        <v>86</v>
      </c>
      <c r="C134" s="59">
        <v>102</v>
      </c>
      <c r="D134" s="59">
        <v>22.25</v>
      </c>
      <c r="E134" s="59">
        <v>0.74</v>
      </c>
      <c r="F134" s="59">
        <v>0</v>
      </c>
      <c r="G134" s="59">
        <v>0</v>
      </c>
      <c r="H134" s="59" t="s">
        <v>87</v>
      </c>
      <c r="I134" s="59">
        <v>355</v>
      </c>
      <c r="J134" s="110">
        <f t="shared" si="2"/>
        <v>177.5</v>
      </c>
      <c r="K134" s="172">
        <v>355</v>
      </c>
      <c r="L134" s="60" t="s">
        <v>547</v>
      </c>
      <c r="M134" s="170"/>
      <c r="N134" s="61" t="s">
        <v>947</v>
      </c>
      <c r="O134" s="181">
        <v>0.5</v>
      </c>
    </row>
    <row r="135" spans="1:15">
      <c r="A135" s="2"/>
      <c r="B135" s="61" t="s">
        <v>88</v>
      </c>
      <c r="C135" s="59">
        <v>112</v>
      </c>
      <c r="D135" s="59">
        <v>22.83</v>
      </c>
      <c r="E135" s="59">
        <v>1.64</v>
      </c>
      <c r="F135" s="59">
        <v>0</v>
      </c>
      <c r="G135" s="59">
        <v>0</v>
      </c>
      <c r="H135" s="59" t="s">
        <v>89</v>
      </c>
      <c r="I135" s="59">
        <v>694</v>
      </c>
      <c r="J135" s="110">
        <f t="shared" si="2"/>
        <v>173.5</v>
      </c>
      <c r="K135" s="172">
        <v>694</v>
      </c>
      <c r="L135" s="60" t="s">
        <v>548</v>
      </c>
      <c r="M135" s="170"/>
      <c r="N135" s="61" t="s">
        <v>371</v>
      </c>
      <c r="O135" s="179">
        <v>1</v>
      </c>
    </row>
    <row r="136" spans="1:15">
      <c r="A136" s="2"/>
      <c r="B136" s="61" t="s">
        <v>83</v>
      </c>
      <c r="C136" s="59">
        <v>134</v>
      </c>
      <c r="D136" s="59">
        <v>22.77</v>
      </c>
      <c r="E136" s="59">
        <v>4.03</v>
      </c>
      <c r="F136" s="59">
        <v>0</v>
      </c>
      <c r="G136" s="59">
        <v>0</v>
      </c>
      <c r="H136" s="59" t="s">
        <v>84</v>
      </c>
      <c r="I136" s="59">
        <v>117</v>
      </c>
      <c r="J136" s="110">
        <f t="shared" si="2"/>
        <v>29.25</v>
      </c>
      <c r="K136" s="172">
        <v>117</v>
      </c>
      <c r="L136" s="60" t="s">
        <v>549</v>
      </c>
      <c r="M136" s="170"/>
      <c r="N136" s="61" t="s">
        <v>366</v>
      </c>
      <c r="O136" s="179">
        <v>0.5</v>
      </c>
    </row>
    <row r="137" spans="1:15">
      <c r="A137" s="2"/>
      <c r="B137" s="61" t="s">
        <v>90</v>
      </c>
      <c r="C137" s="59">
        <v>108</v>
      </c>
      <c r="D137" s="59">
        <v>22.22</v>
      </c>
      <c r="E137" s="59">
        <v>1.49</v>
      </c>
      <c r="F137" s="59">
        <v>0</v>
      </c>
      <c r="G137" s="59">
        <v>0</v>
      </c>
      <c r="H137" s="59" t="s">
        <v>91</v>
      </c>
      <c r="I137" s="59">
        <v>572</v>
      </c>
      <c r="J137" s="110">
        <f t="shared" si="2"/>
        <v>286</v>
      </c>
      <c r="K137" s="172">
        <v>572</v>
      </c>
      <c r="L137" s="60" t="s">
        <v>550</v>
      </c>
      <c r="M137" s="170"/>
      <c r="N137" s="61" t="s">
        <v>1059</v>
      </c>
      <c r="O137" s="179">
        <v>0.25</v>
      </c>
    </row>
    <row r="138" spans="1:15">
      <c r="A138" s="2"/>
      <c r="B138" s="61" t="s">
        <v>415</v>
      </c>
      <c r="C138" s="59">
        <v>161</v>
      </c>
      <c r="D138" s="59">
        <v>22.75</v>
      </c>
      <c r="E138" s="59">
        <v>7.13</v>
      </c>
      <c r="F138" s="59">
        <v>0</v>
      </c>
      <c r="G138" s="59">
        <v>0</v>
      </c>
      <c r="H138" s="59" t="s">
        <v>923</v>
      </c>
      <c r="I138" s="59">
        <v>142</v>
      </c>
      <c r="J138" s="109">
        <f t="shared" si="2"/>
        <v>14.200000000000001</v>
      </c>
      <c r="K138" s="172">
        <v>28.4</v>
      </c>
      <c r="L138" s="60" t="s">
        <v>554</v>
      </c>
      <c r="M138" s="170"/>
      <c r="N138" s="61" t="s">
        <v>372</v>
      </c>
      <c r="O138" s="179">
        <v>0.25</v>
      </c>
    </row>
    <row r="139" spans="1:15">
      <c r="A139" s="2"/>
      <c r="B139" s="61" t="s">
        <v>416</v>
      </c>
      <c r="C139" s="59">
        <v>371</v>
      </c>
      <c r="D139" s="59">
        <v>15.86</v>
      </c>
      <c r="E139" s="59">
        <v>33.619999999999997</v>
      </c>
      <c r="F139" s="59">
        <v>0</v>
      </c>
      <c r="G139" s="59">
        <v>0</v>
      </c>
      <c r="H139" s="59" t="s">
        <v>923</v>
      </c>
      <c r="I139" s="59">
        <v>142</v>
      </c>
      <c r="J139" s="109">
        <f t="shared" si="2"/>
        <v>14.200000000000001</v>
      </c>
      <c r="K139" s="172">
        <v>28.4</v>
      </c>
      <c r="L139" s="60" t="s">
        <v>554</v>
      </c>
      <c r="M139" s="170"/>
      <c r="N139" s="61" t="s">
        <v>1033</v>
      </c>
      <c r="O139" s="179">
        <v>0.25</v>
      </c>
    </row>
    <row r="140" spans="1:15">
      <c r="A140" s="2"/>
      <c r="B140" s="61" t="s">
        <v>24</v>
      </c>
      <c r="C140" s="59">
        <v>110</v>
      </c>
      <c r="D140" s="59">
        <v>20.64</v>
      </c>
      <c r="E140" s="59">
        <v>2.4700000000000002</v>
      </c>
      <c r="F140" s="59">
        <v>0</v>
      </c>
      <c r="G140" s="59">
        <v>0</v>
      </c>
      <c r="H140" s="59" t="s">
        <v>104</v>
      </c>
      <c r="I140" s="59">
        <v>28</v>
      </c>
      <c r="J140" s="109">
        <f t="shared" si="2"/>
        <v>14</v>
      </c>
      <c r="K140" s="172">
        <v>28</v>
      </c>
      <c r="L140" s="60" t="s">
        <v>537</v>
      </c>
      <c r="M140" s="170"/>
      <c r="N140" s="61" t="s">
        <v>948</v>
      </c>
      <c r="O140" s="179">
        <v>0.5</v>
      </c>
    </row>
    <row r="141" spans="1:15">
      <c r="A141" s="2"/>
      <c r="B141" s="61" t="s">
        <v>23</v>
      </c>
      <c r="C141" s="59">
        <v>158</v>
      </c>
      <c r="D141" s="59">
        <v>23.4</v>
      </c>
      <c r="E141" s="59">
        <v>6.45</v>
      </c>
      <c r="F141" s="59">
        <v>0</v>
      </c>
      <c r="G141" s="59">
        <v>0</v>
      </c>
      <c r="H141" s="59" t="s">
        <v>104</v>
      </c>
      <c r="I141" s="59">
        <v>28</v>
      </c>
      <c r="J141" s="109">
        <f t="shared" si="2"/>
        <v>14</v>
      </c>
      <c r="K141" s="172">
        <v>28</v>
      </c>
      <c r="L141" s="60" t="s">
        <v>537</v>
      </c>
      <c r="M141" s="170"/>
      <c r="N141" s="61" t="s">
        <v>1034</v>
      </c>
      <c r="O141" s="179">
        <v>0.5</v>
      </c>
    </row>
    <row r="142" spans="1:15">
      <c r="A142" s="2"/>
      <c r="B142" s="61" t="s">
        <v>93</v>
      </c>
      <c r="C142" s="59">
        <v>117</v>
      </c>
      <c r="D142" s="59">
        <v>21.81</v>
      </c>
      <c r="E142" s="59">
        <v>2.65</v>
      </c>
      <c r="F142" s="59">
        <v>0</v>
      </c>
      <c r="G142" s="59">
        <v>0</v>
      </c>
      <c r="H142" s="59" t="s">
        <v>104</v>
      </c>
      <c r="I142" s="59">
        <v>28</v>
      </c>
      <c r="J142" s="110">
        <f t="shared" si="2"/>
        <v>14</v>
      </c>
      <c r="K142" s="172">
        <v>28</v>
      </c>
      <c r="L142" s="60" t="s">
        <v>537</v>
      </c>
      <c r="M142" s="170"/>
      <c r="N142" s="61" t="s">
        <v>107</v>
      </c>
      <c r="O142" s="179">
        <v>0.125</v>
      </c>
    </row>
    <row r="143" spans="1:15">
      <c r="A143" s="2"/>
      <c r="B143" s="61" t="s">
        <v>92</v>
      </c>
      <c r="C143" s="59">
        <v>165</v>
      </c>
      <c r="D143" s="59">
        <v>20.22</v>
      </c>
      <c r="E143" s="59">
        <v>8.6999999999999993</v>
      </c>
      <c r="F143" s="59">
        <v>0</v>
      </c>
      <c r="G143" s="59">
        <v>0</v>
      </c>
      <c r="H143" s="59" t="s">
        <v>104</v>
      </c>
      <c r="I143" s="59">
        <v>28</v>
      </c>
      <c r="J143" s="110">
        <f t="shared" si="2"/>
        <v>14</v>
      </c>
      <c r="K143" s="172">
        <v>28</v>
      </c>
      <c r="L143" s="60" t="s">
        <v>537</v>
      </c>
      <c r="M143" s="170"/>
      <c r="N143" s="61" t="s">
        <v>949</v>
      </c>
      <c r="O143" s="179">
        <v>0.25</v>
      </c>
    </row>
    <row r="144" spans="1:15">
      <c r="A144" s="2"/>
      <c r="B144" s="61" t="s">
        <v>94</v>
      </c>
      <c r="C144" s="59">
        <v>111</v>
      </c>
      <c r="D144" s="59">
        <v>22.39</v>
      </c>
      <c r="E144" s="59">
        <v>1.72</v>
      </c>
      <c r="F144" s="59">
        <v>0</v>
      </c>
      <c r="G144" s="59">
        <v>0</v>
      </c>
      <c r="H144" s="59" t="s">
        <v>82</v>
      </c>
      <c r="I144" s="59">
        <v>85</v>
      </c>
      <c r="J144" s="110">
        <f t="shared" si="2"/>
        <v>28.05</v>
      </c>
      <c r="K144" s="172">
        <v>28.333333333333332</v>
      </c>
      <c r="L144" s="60" t="s">
        <v>554</v>
      </c>
      <c r="M144" s="170"/>
      <c r="N144" s="61" t="s">
        <v>326</v>
      </c>
      <c r="O144" s="179">
        <v>0.125</v>
      </c>
    </row>
    <row r="145" spans="1:15">
      <c r="A145" s="2"/>
      <c r="B145" s="61" t="s">
        <v>417</v>
      </c>
      <c r="C145" s="59">
        <v>133</v>
      </c>
      <c r="D145" s="59">
        <v>24.37</v>
      </c>
      <c r="E145" s="59">
        <v>3.25</v>
      </c>
      <c r="F145" s="59">
        <v>0</v>
      </c>
      <c r="G145" s="59">
        <v>0</v>
      </c>
      <c r="H145" s="59" t="s">
        <v>934</v>
      </c>
      <c r="I145" s="59">
        <v>182</v>
      </c>
      <c r="J145" s="109">
        <f t="shared" si="2"/>
        <v>91</v>
      </c>
      <c r="K145" s="172">
        <v>364</v>
      </c>
      <c r="L145" s="131" t="s">
        <v>552</v>
      </c>
      <c r="M145" s="170"/>
      <c r="N145" s="61" t="s">
        <v>950</v>
      </c>
      <c r="O145" s="179">
        <v>0.125</v>
      </c>
    </row>
    <row r="146" spans="1:15">
      <c r="A146" s="2"/>
      <c r="B146" s="61" t="s">
        <v>418</v>
      </c>
      <c r="C146" s="59">
        <v>134</v>
      </c>
      <c r="D146" s="59">
        <v>22.2</v>
      </c>
      <c r="E146" s="59">
        <v>4.3</v>
      </c>
      <c r="F146" s="59">
        <v>0</v>
      </c>
      <c r="G146" s="59">
        <v>0</v>
      </c>
      <c r="H146" s="59" t="s">
        <v>1009</v>
      </c>
      <c r="I146" s="59">
        <v>107</v>
      </c>
      <c r="J146" s="109">
        <f t="shared" si="2"/>
        <v>53.5</v>
      </c>
      <c r="K146" s="172">
        <v>107</v>
      </c>
      <c r="L146" s="60" t="s">
        <v>551</v>
      </c>
      <c r="M146" s="170"/>
      <c r="N146" s="61" t="s">
        <v>1043</v>
      </c>
      <c r="O146" s="179">
        <v>0.5</v>
      </c>
    </row>
    <row r="147" spans="1:15">
      <c r="A147" s="2"/>
      <c r="B147" s="61" t="s">
        <v>419</v>
      </c>
      <c r="C147" s="59">
        <v>133</v>
      </c>
      <c r="D147" s="59">
        <v>23.57</v>
      </c>
      <c r="E147" s="59">
        <v>3.64</v>
      </c>
      <c r="F147" s="59">
        <v>0</v>
      </c>
      <c r="G147" s="59">
        <v>0</v>
      </c>
      <c r="H147" s="59" t="s">
        <v>935</v>
      </c>
      <c r="I147" s="59">
        <v>352</v>
      </c>
      <c r="J147" s="109">
        <f t="shared" si="2"/>
        <v>176</v>
      </c>
      <c r="K147" s="172">
        <v>704</v>
      </c>
      <c r="L147" s="131" t="s">
        <v>1438</v>
      </c>
      <c r="M147" s="170"/>
      <c r="N147" s="61" t="s">
        <v>951</v>
      </c>
      <c r="O147" s="179">
        <v>0.5</v>
      </c>
    </row>
    <row r="148" spans="1:15">
      <c r="A148" s="2"/>
      <c r="B148" s="61" t="s">
        <v>25</v>
      </c>
      <c r="C148" s="59">
        <v>181</v>
      </c>
      <c r="D148" s="59">
        <v>22.7</v>
      </c>
      <c r="E148" s="59">
        <v>9.2899999999999991</v>
      </c>
      <c r="F148" s="59">
        <v>0</v>
      </c>
      <c r="G148" s="59">
        <v>0</v>
      </c>
      <c r="H148" s="59" t="s">
        <v>935</v>
      </c>
      <c r="I148" s="59">
        <v>400</v>
      </c>
      <c r="J148" s="109">
        <f t="shared" si="2"/>
        <v>200</v>
      </c>
      <c r="K148" s="172">
        <v>800</v>
      </c>
      <c r="L148" s="131" t="s">
        <v>1438</v>
      </c>
      <c r="M148" s="170"/>
      <c r="N148" s="61" t="s">
        <v>339</v>
      </c>
      <c r="O148" s="179">
        <v>0.5</v>
      </c>
    </row>
    <row r="149" spans="1:15">
      <c r="A149" s="2"/>
      <c r="B149" s="61" t="s">
        <v>72</v>
      </c>
      <c r="C149" s="59">
        <v>123</v>
      </c>
      <c r="D149" s="59">
        <v>22.59</v>
      </c>
      <c r="E149" s="59">
        <v>2.99</v>
      </c>
      <c r="F149" s="59">
        <v>0</v>
      </c>
      <c r="G149" s="59">
        <v>0</v>
      </c>
      <c r="H149" s="59" t="s">
        <v>73</v>
      </c>
      <c r="I149" s="59">
        <v>56</v>
      </c>
      <c r="J149" s="109">
        <f t="shared" si="2"/>
        <v>28</v>
      </c>
      <c r="K149" s="172">
        <v>56</v>
      </c>
      <c r="L149" s="60" t="s">
        <v>552</v>
      </c>
      <c r="M149" s="170"/>
      <c r="N149" s="61" t="s">
        <v>361</v>
      </c>
      <c r="O149" s="179">
        <v>0.5</v>
      </c>
    </row>
    <row r="150" spans="1:15">
      <c r="A150" s="2"/>
      <c r="B150" s="61" t="s">
        <v>26</v>
      </c>
      <c r="C150" s="59">
        <v>192</v>
      </c>
      <c r="D150" s="59">
        <v>19.63</v>
      </c>
      <c r="E150" s="59">
        <v>12.05</v>
      </c>
      <c r="F150" s="59">
        <v>0</v>
      </c>
      <c r="G150" s="59">
        <v>0</v>
      </c>
      <c r="H150" s="59" t="s">
        <v>27</v>
      </c>
      <c r="I150" s="59">
        <v>109</v>
      </c>
      <c r="J150" s="109">
        <f t="shared" si="2"/>
        <v>54.5</v>
      </c>
      <c r="K150" s="172">
        <v>109</v>
      </c>
      <c r="L150" s="60" t="s">
        <v>553</v>
      </c>
      <c r="M150" s="170"/>
      <c r="N150" s="61" t="s">
        <v>1032</v>
      </c>
      <c r="O150" s="179">
        <v>0.5</v>
      </c>
    </row>
    <row r="151" spans="1:15">
      <c r="A151" s="2"/>
      <c r="B151" s="61" t="s">
        <v>71</v>
      </c>
      <c r="C151" s="59">
        <v>134</v>
      </c>
      <c r="D151" s="59">
        <v>21.76</v>
      </c>
      <c r="E151" s="59">
        <v>4.53</v>
      </c>
      <c r="F151" s="59">
        <v>0</v>
      </c>
      <c r="G151" s="59">
        <v>0</v>
      </c>
      <c r="H151" s="59" t="s">
        <v>27</v>
      </c>
      <c r="I151" s="59">
        <v>92</v>
      </c>
      <c r="J151" s="109">
        <f t="shared" si="2"/>
        <v>46</v>
      </c>
      <c r="K151" s="172">
        <v>92</v>
      </c>
      <c r="L151" s="60" t="s">
        <v>553</v>
      </c>
      <c r="M151" s="170"/>
      <c r="N151" s="61" t="s">
        <v>347</v>
      </c>
      <c r="O151" s="179">
        <v>1</v>
      </c>
    </row>
    <row r="152" spans="1:15">
      <c r="A152" s="2"/>
      <c r="B152" s="61" t="s">
        <v>66</v>
      </c>
      <c r="C152" s="59">
        <v>157</v>
      </c>
      <c r="D152" s="59">
        <v>21.89</v>
      </c>
      <c r="E152" s="59">
        <v>7.02</v>
      </c>
      <c r="F152" s="59">
        <v>0</v>
      </c>
      <c r="G152" s="59">
        <v>0</v>
      </c>
      <c r="H152" s="59" t="s">
        <v>923</v>
      </c>
      <c r="I152" s="59">
        <v>142</v>
      </c>
      <c r="J152" s="109">
        <f t="shared" si="2"/>
        <v>14.200000000000001</v>
      </c>
      <c r="K152" s="172">
        <v>28.4</v>
      </c>
      <c r="L152" s="60" t="s">
        <v>554</v>
      </c>
      <c r="M152" s="170"/>
      <c r="N152" s="61" t="s">
        <v>348</v>
      </c>
      <c r="O152" s="179">
        <v>0.125</v>
      </c>
    </row>
    <row r="153" spans="1:15">
      <c r="A153" s="2"/>
      <c r="B153" s="61" t="s">
        <v>67</v>
      </c>
      <c r="C153" s="59">
        <v>144</v>
      </c>
      <c r="D153" s="59">
        <v>19.54</v>
      </c>
      <c r="E153" s="59">
        <v>6.72</v>
      </c>
      <c r="F153" s="59">
        <v>0</v>
      </c>
      <c r="G153" s="59">
        <v>0</v>
      </c>
      <c r="H153" s="59" t="s">
        <v>923</v>
      </c>
      <c r="I153" s="59">
        <v>142</v>
      </c>
      <c r="J153" s="109">
        <f t="shared" si="2"/>
        <v>14.200000000000001</v>
      </c>
      <c r="K153" s="172">
        <v>28.4</v>
      </c>
      <c r="L153" s="60" t="s">
        <v>554</v>
      </c>
      <c r="M153" s="170"/>
      <c r="N153" s="61" t="s">
        <v>952</v>
      </c>
      <c r="O153" s="179">
        <v>0.5</v>
      </c>
    </row>
    <row r="154" spans="1:15" ht="13.5" thickBot="1">
      <c r="A154" s="2"/>
      <c r="B154" s="63" t="s">
        <v>68</v>
      </c>
      <c r="C154" s="64">
        <v>197</v>
      </c>
      <c r="D154" s="64">
        <v>20.22</v>
      </c>
      <c r="E154" s="64">
        <v>12.32</v>
      </c>
      <c r="F154" s="64">
        <v>0</v>
      </c>
      <c r="G154" s="64">
        <v>0</v>
      </c>
      <c r="H154" s="64" t="s">
        <v>930</v>
      </c>
      <c r="I154" s="64">
        <v>256</v>
      </c>
      <c r="J154" s="111">
        <f t="shared" si="2"/>
        <v>128</v>
      </c>
      <c r="K154" s="173">
        <v>256</v>
      </c>
      <c r="L154" s="70" t="s">
        <v>544</v>
      </c>
      <c r="M154" s="170"/>
      <c r="N154" s="61" t="s">
        <v>352</v>
      </c>
      <c r="O154" s="179">
        <v>0.5</v>
      </c>
    </row>
    <row r="155" spans="1:15" ht="14.25" thickTop="1" thickBot="1">
      <c r="M155" s="170"/>
      <c r="N155" s="61" t="s">
        <v>167</v>
      </c>
      <c r="O155" s="179">
        <v>0.125</v>
      </c>
    </row>
    <row r="156" spans="1:15" ht="18.75" thickTop="1">
      <c r="B156" s="66" t="s">
        <v>31</v>
      </c>
      <c r="C156" s="67" t="s">
        <v>1474</v>
      </c>
      <c r="D156" s="68" t="s">
        <v>99</v>
      </c>
      <c r="E156" s="67" t="s">
        <v>1475</v>
      </c>
      <c r="F156" s="67" t="s">
        <v>1476</v>
      </c>
      <c r="G156" s="67" t="s">
        <v>1477</v>
      </c>
      <c r="H156" s="68" t="s">
        <v>918</v>
      </c>
      <c r="I156" s="68" t="s">
        <v>919</v>
      </c>
      <c r="J156" s="67" t="s">
        <v>467</v>
      </c>
      <c r="K156" s="67" t="s">
        <v>203</v>
      </c>
      <c r="L156" s="69"/>
      <c r="M156" s="170"/>
      <c r="N156" s="61" t="s">
        <v>354</v>
      </c>
      <c r="O156" s="179">
        <v>0.125</v>
      </c>
    </row>
    <row r="157" spans="1:15">
      <c r="A157" s="2"/>
      <c r="B157" s="61" t="s">
        <v>189</v>
      </c>
      <c r="C157" s="59">
        <v>27</v>
      </c>
      <c r="D157" s="59">
        <v>1.54</v>
      </c>
      <c r="E157" s="59">
        <v>0.16</v>
      </c>
      <c r="F157" s="59">
        <v>6.26</v>
      </c>
      <c r="G157" s="59">
        <v>1.6</v>
      </c>
      <c r="H157" s="101" t="s">
        <v>102</v>
      </c>
      <c r="I157" s="101">
        <v>16</v>
      </c>
      <c r="J157" s="109">
        <f t="shared" ref="J157:J188" si="3">I157*VLOOKUP(H157,Fractional,2,FALSE)</f>
        <v>8</v>
      </c>
      <c r="K157" s="171">
        <v>16</v>
      </c>
      <c r="L157" s="141" t="s">
        <v>536</v>
      </c>
      <c r="M157" s="170"/>
      <c r="N157" s="61" t="s">
        <v>161</v>
      </c>
      <c r="O157" s="179">
        <v>0.25</v>
      </c>
    </row>
    <row r="158" spans="1:15">
      <c r="A158" s="2"/>
      <c r="B158" s="61" t="s">
        <v>190</v>
      </c>
      <c r="C158" s="59">
        <v>67</v>
      </c>
      <c r="D158" s="59">
        <v>3.85</v>
      </c>
      <c r="E158" s="59">
        <v>2.46</v>
      </c>
      <c r="F158" s="59">
        <v>7.16</v>
      </c>
      <c r="G158" s="59">
        <v>0.6</v>
      </c>
      <c r="H158" s="59" t="s">
        <v>101</v>
      </c>
      <c r="I158" s="59">
        <v>251</v>
      </c>
      <c r="J158" s="109">
        <f t="shared" si="3"/>
        <v>31.375</v>
      </c>
      <c r="K158" s="172">
        <v>251</v>
      </c>
      <c r="L158" s="60" t="s">
        <v>512</v>
      </c>
      <c r="M158" s="170"/>
      <c r="N158" s="61" t="s">
        <v>359</v>
      </c>
      <c r="O158" s="179">
        <v>0.1</v>
      </c>
    </row>
    <row r="159" spans="1:15">
      <c r="A159" s="2"/>
      <c r="B159" s="61" t="s">
        <v>191</v>
      </c>
      <c r="C159" s="59">
        <v>61</v>
      </c>
      <c r="D159" s="59">
        <v>3.9</v>
      </c>
      <c r="E159" s="59">
        <v>1.4</v>
      </c>
      <c r="F159" s="59">
        <v>8.1999999999999993</v>
      </c>
      <c r="G159" s="62"/>
      <c r="H159" s="59" t="s">
        <v>101</v>
      </c>
      <c r="I159" s="59">
        <v>251</v>
      </c>
      <c r="J159" s="109">
        <f t="shared" si="3"/>
        <v>31.375</v>
      </c>
      <c r="K159" s="172">
        <v>251</v>
      </c>
      <c r="L159" s="60" t="s">
        <v>512</v>
      </c>
      <c r="M159" s="170"/>
      <c r="N159" s="61" t="s">
        <v>953</v>
      </c>
      <c r="O159" s="179">
        <v>0.25</v>
      </c>
    </row>
    <row r="160" spans="1:15">
      <c r="A160" s="2"/>
      <c r="B160" s="61" t="s">
        <v>192</v>
      </c>
      <c r="C160" s="59">
        <v>45</v>
      </c>
      <c r="D160" s="59">
        <v>2.1</v>
      </c>
      <c r="E160" s="59">
        <v>1.1399999999999999</v>
      </c>
      <c r="F160" s="59">
        <v>6.67</v>
      </c>
      <c r="G160" s="59">
        <v>1.6</v>
      </c>
      <c r="H160" s="59" t="s">
        <v>1447</v>
      </c>
      <c r="I160" s="59">
        <v>251</v>
      </c>
      <c r="J160" s="109">
        <f t="shared" si="3"/>
        <v>31.375</v>
      </c>
      <c r="K160" s="172">
        <v>251</v>
      </c>
      <c r="L160" s="60" t="s">
        <v>512</v>
      </c>
      <c r="M160" s="170"/>
      <c r="N160" s="61" t="s">
        <v>343</v>
      </c>
      <c r="O160" s="179">
        <v>0.125</v>
      </c>
    </row>
    <row r="161" spans="1:15">
      <c r="A161" s="2"/>
      <c r="B161" s="61" t="s">
        <v>193</v>
      </c>
      <c r="C161" s="59">
        <v>52</v>
      </c>
      <c r="D161" s="59">
        <v>2.59</v>
      </c>
      <c r="E161" s="59">
        <v>1.94</v>
      </c>
      <c r="F161" s="59">
        <v>6.03</v>
      </c>
      <c r="G161" s="59">
        <v>0.3</v>
      </c>
      <c r="H161" s="59" t="s">
        <v>101</v>
      </c>
      <c r="I161" s="59">
        <v>252</v>
      </c>
      <c r="J161" s="109">
        <f t="shared" si="3"/>
        <v>31.5</v>
      </c>
      <c r="K161" s="172">
        <v>252</v>
      </c>
      <c r="L161" s="60" t="s">
        <v>512</v>
      </c>
      <c r="M161" s="170"/>
      <c r="N161" s="61" t="s">
        <v>166</v>
      </c>
      <c r="O161" s="179">
        <v>0.125</v>
      </c>
    </row>
    <row r="162" spans="1:15">
      <c r="A162" s="2"/>
      <c r="B162" s="61" t="s">
        <v>194</v>
      </c>
      <c r="C162" s="59">
        <v>61</v>
      </c>
      <c r="D162" s="59">
        <v>2.94</v>
      </c>
      <c r="E162" s="59">
        <v>2.3199999999999998</v>
      </c>
      <c r="F162" s="59">
        <v>7.01</v>
      </c>
      <c r="G162" s="59">
        <v>0.7</v>
      </c>
      <c r="H162" s="59" t="s">
        <v>101</v>
      </c>
      <c r="I162" s="59">
        <v>242</v>
      </c>
      <c r="J162" s="110">
        <f t="shared" si="3"/>
        <v>30.25</v>
      </c>
      <c r="K162" s="172">
        <v>242</v>
      </c>
      <c r="L162" s="60" t="s">
        <v>512</v>
      </c>
      <c r="M162" s="170"/>
      <c r="N162" s="61" t="s">
        <v>1455</v>
      </c>
      <c r="O162" s="179">
        <v>0.5</v>
      </c>
    </row>
    <row r="163" spans="1:15">
      <c r="A163" s="2"/>
      <c r="B163" s="61" t="s">
        <v>195</v>
      </c>
      <c r="C163" s="59">
        <v>49</v>
      </c>
      <c r="D163" s="59">
        <v>2.89</v>
      </c>
      <c r="E163" s="59">
        <v>1.56</v>
      </c>
      <c r="F163" s="59">
        <v>5.84</v>
      </c>
      <c r="G163" s="59">
        <v>0.5</v>
      </c>
      <c r="H163" s="59" t="s">
        <v>101</v>
      </c>
      <c r="I163" s="59">
        <v>240</v>
      </c>
      <c r="J163" s="109">
        <f t="shared" si="3"/>
        <v>30</v>
      </c>
      <c r="K163" s="172">
        <v>240</v>
      </c>
      <c r="L163" s="131" t="s">
        <v>512</v>
      </c>
      <c r="M163" s="170"/>
      <c r="N163" s="61" t="s">
        <v>369</v>
      </c>
      <c r="O163" s="179">
        <v>0.25</v>
      </c>
    </row>
    <row r="164" spans="1:15">
      <c r="A164" s="2"/>
      <c r="B164" s="61" t="s">
        <v>196</v>
      </c>
      <c r="C164" s="59">
        <v>68</v>
      </c>
      <c r="D164" s="59">
        <v>3.48</v>
      </c>
      <c r="E164" s="59">
        <v>2.0499999999999998</v>
      </c>
      <c r="F164" s="59">
        <v>9.17</v>
      </c>
      <c r="G164" s="59">
        <v>0.8</v>
      </c>
      <c r="H164" s="59" t="s">
        <v>1447</v>
      </c>
      <c r="I164" s="59">
        <v>246</v>
      </c>
      <c r="J164" s="109">
        <f t="shared" si="3"/>
        <v>30.75</v>
      </c>
      <c r="K164" s="172">
        <v>246</v>
      </c>
      <c r="L164" s="131" t="s">
        <v>512</v>
      </c>
      <c r="M164" s="170"/>
      <c r="N164" s="61" t="s">
        <v>1019</v>
      </c>
      <c r="O164" s="179">
        <v>0.125</v>
      </c>
    </row>
    <row r="165" spans="1:15">
      <c r="A165" s="2"/>
      <c r="B165" s="61" t="s">
        <v>197</v>
      </c>
      <c r="C165" s="59">
        <v>60</v>
      </c>
      <c r="D165" s="59">
        <v>1.61</v>
      </c>
      <c r="E165" s="59">
        <v>0.56000000000000005</v>
      </c>
      <c r="F165" s="59">
        <v>13.41</v>
      </c>
      <c r="G165" s="59">
        <v>1.2</v>
      </c>
      <c r="H165" s="59" t="s">
        <v>101</v>
      </c>
      <c r="I165" s="59">
        <v>242</v>
      </c>
      <c r="J165" s="109">
        <f t="shared" si="3"/>
        <v>30.25</v>
      </c>
      <c r="K165" s="172">
        <v>242</v>
      </c>
      <c r="L165" s="131" t="s">
        <v>512</v>
      </c>
      <c r="M165" s="170"/>
      <c r="N165" s="61" t="s">
        <v>1021</v>
      </c>
      <c r="O165" s="179">
        <v>0.125</v>
      </c>
    </row>
    <row r="166" spans="1:15">
      <c r="A166" s="2"/>
      <c r="B166" s="61" t="s">
        <v>198</v>
      </c>
      <c r="C166" s="59">
        <v>55</v>
      </c>
      <c r="D166" s="59">
        <v>3.11</v>
      </c>
      <c r="E166" s="59">
        <v>1.59</v>
      </c>
      <c r="F166" s="59">
        <v>6.88</v>
      </c>
      <c r="G166" s="59">
        <v>0.6</v>
      </c>
      <c r="H166" s="59" t="s">
        <v>1447</v>
      </c>
      <c r="I166" s="59">
        <v>251</v>
      </c>
      <c r="J166" s="109">
        <f t="shared" si="3"/>
        <v>31.375</v>
      </c>
      <c r="K166" s="172">
        <v>251</v>
      </c>
      <c r="L166" s="131" t="s">
        <v>512</v>
      </c>
      <c r="M166" s="170"/>
      <c r="N166" s="61" t="s">
        <v>309</v>
      </c>
      <c r="O166" s="179">
        <v>0.125</v>
      </c>
    </row>
    <row r="167" spans="1:15">
      <c r="A167" s="2"/>
      <c r="B167" s="61" t="s">
        <v>214</v>
      </c>
      <c r="C167" s="59">
        <v>60</v>
      </c>
      <c r="D167" s="59">
        <v>2.52</v>
      </c>
      <c r="E167" s="59">
        <v>2.4700000000000002</v>
      </c>
      <c r="F167" s="59">
        <v>7.05</v>
      </c>
      <c r="G167" s="59">
        <v>0.5</v>
      </c>
      <c r="H167" s="59" t="s">
        <v>1447</v>
      </c>
      <c r="I167" s="59">
        <v>246</v>
      </c>
      <c r="J167" s="109">
        <f t="shared" si="3"/>
        <v>30.75</v>
      </c>
      <c r="K167" s="172">
        <v>246</v>
      </c>
      <c r="L167" s="131" t="s">
        <v>512</v>
      </c>
      <c r="M167" s="170"/>
      <c r="N167" s="61" t="s">
        <v>1017</v>
      </c>
      <c r="O167" s="179">
        <v>0.125</v>
      </c>
    </row>
    <row r="168" spans="1:15">
      <c r="A168" s="2"/>
      <c r="B168" s="61" t="s">
        <v>215</v>
      </c>
      <c r="C168" s="59">
        <v>63</v>
      </c>
      <c r="D168" s="59">
        <v>4.45</v>
      </c>
      <c r="E168" s="59">
        <v>1.51</v>
      </c>
      <c r="F168" s="59">
        <v>8.11</v>
      </c>
      <c r="G168" s="59">
        <v>1.6</v>
      </c>
      <c r="H168" s="59" t="s">
        <v>101</v>
      </c>
      <c r="I168" s="59">
        <v>251</v>
      </c>
      <c r="J168" s="109">
        <f t="shared" si="3"/>
        <v>31.375</v>
      </c>
      <c r="K168" s="172">
        <v>251</v>
      </c>
      <c r="L168" s="131" t="s">
        <v>512</v>
      </c>
      <c r="M168" s="170"/>
      <c r="N168" s="61" t="s">
        <v>954</v>
      </c>
      <c r="O168" s="181">
        <v>0.1</v>
      </c>
    </row>
    <row r="169" spans="1:15">
      <c r="A169" s="2"/>
      <c r="B169" s="61" t="s">
        <v>172</v>
      </c>
      <c r="C169" s="59">
        <v>16</v>
      </c>
      <c r="D169" s="59">
        <v>1.2</v>
      </c>
      <c r="E169" s="59">
        <v>0.2</v>
      </c>
      <c r="F169" s="59">
        <v>2.5</v>
      </c>
      <c r="G169" s="59">
        <v>0</v>
      </c>
      <c r="H169" s="59" t="s">
        <v>101</v>
      </c>
      <c r="I169" s="59">
        <v>238</v>
      </c>
      <c r="J169" s="109">
        <f t="shared" si="3"/>
        <v>29.75</v>
      </c>
      <c r="K169" s="172">
        <v>238</v>
      </c>
      <c r="L169" s="131" t="s">
        <v>512</v>
      </c>
      <c r="M169" s="170"/>
      <c r="N169" s="61" t="s">
        <v>955</v>
      </c>
      <c r="O169" s="181">
        <v>0.5</v>
      </c>
    </row>
    <row r="170" spans="1:15">
      <c r="A170" s="2"/>
      <c r="B170" s="61" t="s">
        <v>420</v>
      </c>
      <c r="C170" s="59">
        <v>53</v>
      </c>
      <c r="D170" s="59">
        <v>3.8</v>
      </c>
      <c r="E170" s="59">
        <v>2.4</v>
      </c>
      <c r="F170" s="59">
        <v>6.16</v>
      </c>
      <c r="G170" s="59">
        <v>0.3</v>
      </c>
      <c r="H170" s="59" t="s">
        <v>102</v>
      </c>
      <c r="I170" s="59">
        <v>15</v>
      </c>
      <c r="J170" s="110">
        <f t="shared" si="3"/>
        <v>7.5</v>
      </c>
      <c r="K170" s="172">
        <v>15</v>
      </c>
      <c r="L170" s="60" t="s">
        <v>536</v>
      </c>
      <c r="M170" s="170"/>
      <c r="N170" s="61" t="s">
        <v>1066</v>
      </c>
      <c r="O170" s="179">
        <v>0.5</v>
      </c>
    </row>
    <row r="171" spans="1:15">
      <c r="A171" s="2"/>
      <c r="B171" s="61" t="s">
        <v>1303</v>
      </c>
      <c r="C171" s="59">
        <v>50</v>
      </c>
      <c r="D171" s="59">
        <v>1.26</v>
      </c>
      <c r="E171" s="59">
        <v>2.71</v>
      </c>
      <c r="F171" s="59">
        <v>5.47</v>
      </c>
      <c r="G171" s="59">
        <v>0.4</v>
      </c>
      <c r="H171" s="59" t="s">
        <v>102</v>
      </c>
      <c r="I171" s="59">
        <v>15</v>
      </c>
      <c r="J171" s="109">
        <f t="shared" si="3"/>
        <v>7.5</v>
      </c>
      <c r="K171" s="172">
        <v>15</v>
      </c>
      <c r="L171" s="60" t="s">
        <v>536</v>
      </c>
      <c r="M171" s="170"/>
      <c r="N171" s="61" t="s">
        <v>956</v>
      </c>
      <c r="O171" s="179">
        <v>1</v>
      </c>
    </row>
    <row r="172" spans="1:15">
      <c r="A172" s="2"/>
      <c r="B172" s="61" t="s">
        <v>270</v>
      </c>
      <c r="C172" s="59">
        <v>150</v>
      </c>
      <c r="D172" s="59">
        <v>0</v>
      </c>
      <c r="E172" s="59">
        <v>0.28999999999999998</v>
      </c>
      <c r="F172" s="59">
        <v>36.25</v>
      </c>
      <c r="G172" s="59">
        <v>0.6</v>
      </c>
      <c r="H172" s="59" t="s">
        <v>271</v>
      </c>
      <c r="I172" s="59">
        <v>35</v>
      </c>
      <c r="J172" s="109">
        <f t="shared" si="3"/>
        <v>8.75</v>
      </c>
      <c r="K172" s="172">
        <v>17.5</v>
      </c>
      <c r="L172" s="60" t="s">
        <v>536</v>
      </c>
      <c r="M172" s="170"/>
      <c r="N172" s="61" t="s">
        <v>1001</v>
      </c>
      <c r="O172" s="179">
        <v>0.125</v>
      </c>
    </row>
    <row r="173" spans="1:15">
      <c r="A173" s="2"/>
      <c r="B173" s="61" t="s">
        <v>421</v>
      </c>
      <c r="C173" s="59">
        <v>20</v>
      </c>
      <c r="D173" s="59">
        <v>0.7</v>
      </c>
      <c r="E173" s="59">
        <v>0.1</v>
      </c>
      <c r="F173" s="59">
        <v>5</v>
      </c>
      <c r="G173" s="59">
        <v>1.9</v>
      </c>
      <c r="H173" s="59" t="s">
        <v>102</v>
      </c>
      <c r="I173" s="59">
        <v>15</v>
      </c>
      <c r="J173" s="109">
        <f t="shared" si="3"/>
        <v>7.5</v>
      </c>
      <c r="K173" s="172">
        <v>15</v>
      </c>
      <c r="L173" s="60" t="s">
        <v>536</v>
      </c>
      <c r="M173" s="170"/>
      <c r="N173" s="61" t="s">
        <v>1084</v>
      </c>
      <c r="O173" s="179">
        <v>0.125</v>
      </c>
    </row>
    <row r="174" spans="1:15">
      <c r="A174" s="2"/>
      <c r="B174" s="61" t="s">
        <v>1309</v>
      </c>
      <c r="C174" s="59">
        <v>35</v>
      </c>
      <c r="D174" s="59">
        <v>5.0599999999999996</v>
      </c>
      <c r="E174" s="59">
        <v>0.01</v>
      </c>
      <c r="F174" s="59">
        <v>3.64</v>
      </c>
      <c r="G174" s="59">
        <v>0</v>
      </c>
      <c r="H174" s="59" t="s">
        <v>102</v>
      </c>
      <c r="I174" s="59">
        <v>18</v>
      </c>
      <c r="J174" s="109">
        <f t="shared" si="3"/>
        <v>9</v>
      </c>
      <c r="K174" s="172">
        <v>18</v>
      </c>
      <c r="L174" s="60" t="s">
        <v>536</v>
      </c>
      <c r="M174" s="170"/>
      <c r="N174" s="61" t="s">
        <v>1012</v>
      </c>
      <c r="O174" s="179">
        <v>0.5</v>
      </c>
    </row>
    <row r="175" spans="1:15">
      <c r="A175" s="2"/>
      <c r="B175" s="61" t="s">
        <v>1307</v>
      </c>
      <c r="C175" s="59">
        <v>220</v>
      </c>
      <c r="D175" s="59">
        <v>3.31</v>
      </c>
      <c r="E175" s="59">
        <v>3.39</v>
      </c>
      <c r="F175" s="59">
        <v>44.08</v>
      </c>
      <c r="G175" s="59">
        <v>2.8</v>
      </c>
      <c r="H175" s="59" t="s">
        <v>102</v>
      </c>
      <c r="I175" s="59">
        <v>16</v>
      </c>
      <c r="J175" s="110">
        <f t="shared" si="3"/>
        <v>8</v>
      </c>
      <c r="K175" s="172">
        <v>16</v>
      </c>
      <c r="L175" s="60" t="s">
        <v>536</v>
      </c>
      <c r="M175" s="170"/>
      <c r="N175" s="61" t="s">
        <v>1010</v>
      </c>
      <c r="O175" s="179">
        <v>0.5</v>
      </c>
    </row>
    <row r="176" spans="1:15">
      <c r="A176" s="2"/>
      <c r="B176" s="61" t="s">
        <v>1308</v>
      </c>
      <c r="C176" s="59">
        <v>51</v>
      </c>
      <c r="D176" s="59">
        <v>1.35</v>
      </c>
      <c r="E176" s="59">
        <v>0.25</v>
      </c>
      <c r="F176" s="59">
        <v>10.92</v>
      </c>
      <c r="G176" s="59">
        <v>0.3</v>
      </c>
      <c r="H176" s="59" t="s">
        <v>102</v>
      </c>
      <c r="I176" s="59">
        <v>18</v>
      </c>
      <c r="J176" s="110">
        <f t="shared" si="3"/>
        <v>9</v>
      </c>
      <c r="K176" s="172">
        <v>18</v>
      </c>
      <c r="L176" s="60" t="s">
        <v>536</v>
      </c>
      <c r="M176" s="170"/>
      <c r="N176" s="61" t="s">
        <v>1016</v>
      </c>
      <c r="O176" s="179">
        <v>0.125</v>
      </c>
    </row>
    <row r="177" spans="1:15">
      <c r="A177" s="2"/>
      <c r="B177" s="61" t="s">
        <v>422</v>
      </c>
      <c r="C177" s="59">
        <v>87</v>
      </c>
      <c r="D177" s="59">
        <v>1.78</v>
      </c>
      <c r="E177" s="59">
        <v>2.69</v>
      </c>
      <c r="F177" s="59">
        <v>13.76</v>
      </c>
      <c r="G177" s="59">
        <v>2.6</v>
      </c>
      <c r="H177" s="59" t="s">
        <v>95</v>
      </c>
      <c r="I177" s="59">
        <v>129</v>
      </c>
      <c r="J177" s="109">
        <f t="shared" si="3"/>
        <v>32.25</v>
      </c>
      <c r="K177" s="172">
        <v>258</v>
      </c>
      <c r="L177" s="131" t="s">
        <v>512</v>
      </c>
      <c r="M177" s="170"/>
      <c r="N177" s="61" t="s">
        <v>1079</v>
      </c>
      <c r="O177" s="179">
        <v>0.5</v>
      </c>
    </row>
    <row r="178" spans="1:15">
      <c r="A178" s="2"/>
      <c r="B178" s="61" t="s">
        <v>423</v>
      </c>
      <c r="C178" s="59">
        <v>21</v>
      </c>
      <c r="D178" s="59">
        <v>0.9</v>
      </c>
      <c r="E178" s="59">
        <v>0.6</v>
      </c>
      <c r="F178" s="59">
        <v>3.9</v>
      </c>
      <c r="G178" s="59">
        <v>0.7</v>
      </c>
      <c r="H178" s="59" t="s">
        <v>102</v>
      </c>
      <c r="I178" s="59">
        <v>15</v>
      </c>
      <c r="J178" s="109">
        <f t="shared" si="3"/>
        <v>7.5</v>
      </c>
      <c r="K178" s="172">
        <v>15</v>
      </c>
      <c r="L178" s="60" t="s">
        <v>536</v>
      </c>
      <c r="M178" s="170"/>
      <c r="N178" s="61" t="s">
        <v>1089</v>
      </c>
      <c r="O178" s="179">
        <v>0.16700000000000001</v>
      </c>
    </row>
    <row r="179" spans="1:15">
      <c r="A179" s="2"/>
      <c r="B179" s="61" t="s">
        <v>1306</v>
      </c>
      <c r="C179" s="59">
        <v>54</v>
      </c>
      <c r="D179" s="59">
        <v>2.1800000000000002</v>
      </c>
      <c r="E179" s="59">
        <v>1.1499999999999999</v>
      </c>
      <c r="F179" s="59">
        <v>8.67</v>
      </c>
      <c r="G179" s="59">
        <v>2</v>
      </c>
      <c r="H179" s="59" t="s">
        <v>1453</v>
      </c>
      <c r="I179" s="59">
        <v>63</v>
      </c>
      <c r="J179" s="109">
        <f t="shared" si="3"/>
        <v>15.75</v>
      </c>
      <c r="K179" s="172">
        <v>63</v>
      </c>
      <c r="L179" s="60" t="s">
        <v>560</v>
      </c>
      <c r="M179" s="170"/>
      <c r="N179" s="61" t="s">
        <v>74</v>
      </c>
      <c r="O179" s="179">
        <v>0.125</v>
      </c>
    </row>
    <row r="180" spans="1:15">
      <c r="A180" s="2"/>
      <c r="B180" s="61" t="s">
        <v>272</v>
      </c>
      <c r="C180" s="59">
        <v>184</v>
      </c>
      <c r="D180" s="59">
        <v>0.89</v>
      </c>
      <c r="E180" s="59">
        <v>1.04</v>
      </c>
      <c r="F180" s="59">
        <v>42.81</v>
      </c>
      <c r="G180" s="59">
        <v>0.7</v>
      </c>
      <c r="H180" s="59" t="s">
        <v>102</v>
      </c>
      <c r="I180" s="59">
        <v>19</v>
      </c>
      <c r="J180" s="109">
        <f t="shared" si="3"/>
        <v>9.5</v>
      </c>
      <c r="K180" s="172">
        <v>19</v>
      </c>
      <c r="L180" s="60" t="s">
        <v>536</v>
      </c>
      <c r="M180" s="170"/>
      <c r="N180" s="61" t="s">
        <v>1091</v>
      </c>
      <c r="O180" s="179">
        <v>0.5</v>
      </c>
    </row>
    <row r="181" spans="1:15">
      <c r="A181" s="2"/>
      <c r="B181" s="61" t="s">
        <v>1313</v>
      </c>
      <c r="C181" s="59">
        <v>79</v>
      </c>
      <c r="D181" s="59">
        <v>1.84</v>
      </c>
      <c r="E181" s="59">
        <v>0.57999999999999996</v>
      </c>
      <c r="F181" s="59">
        <v>16.72</v>
      </c>
      <c r="G181" s="59">
        <v>0.4</v>
      </c>
      <c r="H181" s="59" t="s">
        <v>102</v>
      </c>
      <c r="I181" s="59">
        <v>19</v>
      </c>
      <c r="J181" s="110">
        <f t="shared" si="3"/>
        <v>9.5</v>
      </c>
      <c r="K181" s="172">
        <v>19</v>
      </c>
      <c r="L181" s="60" t="s">
        <v>536</v>
      </c>
      <c r="M181" s="170"/>
      <c r="N181" s="61" t="s">
        <v>957</v>
      </c>
      <c r="O181" s="179">
        <v>0.33</v>
      </c>
    </row>
    <row r="182" spans="1:15">
      <c r="A182" s="2"/>
      <c r="B182" s="61" t="s">
        <v>1302</v>
      </c>
      <c r="C182" s="59">
        <v>89</v>
      </c>
      <c r="D182" s="59">
        <v>5.93</v>
      </c>
      <c r="E182" s="59">
        <v>0.02</v>
      </c>
      <c r="F182" s="59">
        <v>15.56</v>
      </c>
      <c r="G182" s="59">
        <v>0.1</v>
      </c>
      <c r="H182" s="59" t="s">
        <v>102</v>
      </c>
      <c r="I182" s="59">
        <v>18</v>
      </c>
      <c r="J182" s="109">
        <f t="shared" si="3"/>
        <v>9</v>
      </c>
      <c r="K182" s="172">
        <v>18</v>
      </c>
      <c r="L182" s="60" t="s">
        <v>536</v>
      </c>
      <c r="M182" s="170"/>
      <c r="N182" s="61" t="s">
        <v>985</v>
      </c>
      <c r="O182" s="181">
        <v>0.5</v>
      </c>
    </row>
    <row r="183" spans="1:15">
      <c r="A183" s="2"/>
      <c r="B183" s="61" t="s">
        <v>1312</v>
      </c>
      <c r="C183" s="59">
        <v>72</v>
      </c>
      <c r="D183" s="59">
        <v>3.95</v>
      </c>
      <c r="E183" s="59">
        <v>2.56</v>
      </c>
      <c r="F183" s="59">
        <v>8.2899999999999991</v>
      </c>
      <c r="G183" s="59">
        <v>0.1</v>
      </c>
      <c r="H183" s="59" t="s">
        <v>102</v>
      </c>
      <c r="I183" s="59">
        <v>17</v>
      </c>
      <c r="J183" s="110">
        <f t="shared" si="3"/>
        <v>8.5</v>
      </c>
      <c r="K183" s="172">
        <v>17</v>
      </c>
      <c r="L183" s="60" t="s">
        <v>536</v>
      </c>
      <c r="M183" s="170"/>
      <c r="N183" s="61" t="s">
        <v>996</v>
      </c>
      <c r="O183" s="181">
        <v>0.5</v>
      </c>
    </row>
    <row r="184" spans="1:15">
      <c r="A184" s="2"/>
      <c r="B184" s="61" t="s">
        <v>0</v>
      </c>
      <c r="C184" s="59">
        <v>78</v>
      </c>
      <c r="D184" s="59">
        <v>0</v>
      </c>
      <c r="E184" s="59">
        <v>0</v>
      </c>
      <c r="F184" s="59">
        <v>19.46</v>
      </c>
      <c r="G184" s="59">
        <v>0</v>
      </c>
      <c r="H184" s="59" t="s">
        <v>102</v>
      </c>
      <c r="I184" s="59">
        <v>17</v>
      </c>
      <c r="J184" s="109">
        <f t="shared" si="3"/>
        <v>8.5</v>
      </c>
      <c r="K184" s="172">
        <v>17</v>
      </c>
      <c r="L184" s="60" t="s">
        <v>536</v>
      </c>
      <c r="M184" s="170"/>
      <c r="N184" s="61" t="s">
        <v>155</v>
      </c>
      <c r="O184" s="179">
        <v>0.125</v>
      </c>
    </row>
    <row r="185" spans="1:15">
      <c r="A185" s="2"/>
      <c r="B185" s="61" t="s">
        <v>1285</v>
      </c>
      <c r="C185" s="59">
        <v>129</v>
      </c>
      <c r="D185" s="59">
        <v>5.88</v>
      </c>
      <c r="E185" s="59">
        <v>4.42</v>
      </c>
      <c r="F185" s="59">
        <v>16.97</v>
      </c>
      <c r="G185" s="59">
        <v>5.9</v>
      </c>
      <c r="H185" s="59" t="s">
        <v>1453</v>
      </c>
      <c r="I185" s="59">
        <v>130</v>
      </c>
      <c r="J185" s="109">
        <f t="shared" si="3"/>
        <v>32.5</v>
      </c>
      <c r="K185" s="172">
        <v>130</v>
      </c>
      <c r="L185" s="60" t="s">
        <v>560</v>
      </c>
      <c r="M185" s="170"/>
      <c r="N185" s="61" t="s">
        <v>1435</v>
      </c>
      <c r="O185" s="179">
        <v>0.5</v>
      </c>
    </row>
    <row r="186" spans="1:15">
      <c r="A186" s="2"/>
      <c r="B186" s="61" t="s">
        <v>1315</v>
      </c>
      <c r="C186" s="59">
        <v>117</v>
      </c>
      <c r="D186" s="59">
        <v>6.5</v>
      </c>
      <c r="E186" s="59">
        <v>2.1</v>
      </c>
      <c r="F186" s="59">
        <v>18</v>
      </c>
      <c r="G186" s="59">
        <v>4.5999999999999996</v>
      </c>
      <c r="H186" s="59" t="s">
        <v>1453</v>
      </c>
      <c r="I186" s="59">
        <v>135</v>
      </c>
      <c r="J186" s="109">
        <f t="shared" si="3"/>
        <v>33.75</v>
      </c>
      <c r="K186" s="172">
        <v>135</v>
      </c>
      <c r="L186" s="60" t="s">
        <v>560</v>
      </c>
      <c r="M186" s="170"/>
      <c r="N186" s="61" t="s">
        <v>958</v>
      </c>
      <c r="O186" s="179">
        <v>0.5</v>
      </c>
    </row>
    <row r="187" spans="1:15">
      <c r="A187" s="2"/>
      <c r="B187" s="61" t="s">
        <v>1286</v>
      </c>
      <c r="C187" s="59">
        <v>142</v>
      </c>
      <c r="D187" s="59">
        <v>7.6</v>
      </c>
      <c r="E187" s="59">
        <v>5.31</v>
      </c>
      <c r="F187" s="59">
        <v>16.75</v>
      </c>
      <c r="G187" s="59">
        <v>4.5999999999999996</v>
      </c>
      <c r="H187" s="59" t="s">
        <v>1447</v>
      </c>
      <c r="I187" s="59">
        <v>263</v>
      </c>
      <c r="J187" s="109">
        <f t="shared" si="3"/>
        <v>32.875</v>
      </c>
      <c r="K187" s="172">
        <v>263</v>
      </c>
      <c r="L187" s="131" t="s">
        <v>512</v>
      </c>
      <c r="M187" s="170"/>
      <c r="N187" s="61" t="s">
        <v>313</v>
      </c>
      <c r="O187" s="181">
        <v>0.5</v>
      </c>
    </row>
    <row r="188" spans="1:15">
      <c r="A188" s="2"/>
      <c r="B188" s="61" t="s">
        <v>1304</v>
      </c>
      <c r="C188" s="59">
        <v>61</v>
      </c>
      <c r="D188" s="59">
        <v>4.5999999999999996</v>
      </c>
      <c r="E188" s="59">
        <v>2.4</v>
      </c>
      <c r="F188" s="59">
        <v>5.2</v>
      </c>
      <c r="G188" s="59">
        <v>0.2</v>
      </c>
      <c r="H188" s="59" t="s">
        <v>1447</v>
      </c>
      <c r="I188" s="59">
        <v>251</v>
      </c>
      <c r="J188" s="109">
        <f t="shared" si="3"/>
        <v>31.375</v>
      </c>
      <c r="K188" s="172">
        <v>251</v>
      </c>
      <c r="L188" s="131" t="s">
        <v>512</v>
      </c>
      <c r="M188" s="170"/>
      <c r="N188" s="61" t="s">
        <v>113</v>
      </c>
      <c r="O188" s="179">
        <v>0.5</v>
      </c>
    </row>
    <row r="189" spans="1:15">
      <c r="A189" s="2"/>
      <c r="B189" s="61" t="s">
        <v>1316</v>
      </c>
      <c r="C189" s="59">
        <v>98</v>
      </c>
      <c r="D189" s="59">
        <v>5.0999999999999996</v>
      </c>
      <c r="E189" s="59">
        <v>4.5999999999999996</v>
      </c>
      <c r="F189" s="59">
        <v>9</v>
      </c>
      <c r="G189" s="59">
        <v>0.6</v>
      </c>
      <c r="H189" s="59" t="s">
        <v>101</v>
      </c>
      <c r="I189" s="59">
        <v>240</v>
      </c>
      <c r="J189" s="110">
        <f t="shared" ref="J189:J215" si="4">I189*VLOOKUP(H189,Fractional,2,FALSE)</f>
        <v>30</v>
      </c>
      <c r="K189" s="172">
        <v>240</v>
      </c>
      <c r="L189" s="131" t="s">
        <v>512</v>
      </c>
      <c r="M189" s="170"/>
      <c r="N189" s="61" t="s">
        <v>1424</v>
      </c>
      <c r="O189" s="179">
        <v>0.5</v>
      </c>
    </row>
    <row r="190" spans="1:15">
      <c r="A190" s="2"/>
      <c r="B190" s="61" t="s">
        <v>1305</v>
      </c>
      <c r="C190" s="59">
        <v>109</v>
      </c>
      <c r="D190" s="59">
        <v>3.5</v>
      </c>
      <c r="E190" s="59">
        <v>7.3</v>
      </c>
      <c r="F190" s="59">
        <v>7.6</v>
      </c>
      <c r="G190" s="59">
        <v>0.2</v>
      </c>
      <c r="H190" s="59" t="s">
        <v>1447</v>
      </c>
      <c r="I190" s="59">
        <v>251</v>
      </c>
      <c r="J190" s="109">
        <f t="shared" si="4"/>
        <v>31.375</v>
      </c>
      <c r="K190" s="172">
        <v>251</v>
      </c>
      <c r="L190" s="131" t="s">
        <v>512</v>
      </c>
      <c r="M190" s="170"/>
      <c r="N190" s="61" t="s">
        <v>85</v>
      </c>
      <c r="O190" s="179">
        <v>0.5</v>
      </c>
    </row>
    <row r="191" spans="1:15">
      <c r="A191" s="2"/>
      <c r="B191" s="61" t="s">
        <v>1289</v>
      </c>
      <c r="C191" s="59">
        <v>71</v>
      </c>
      <c r="D191" s="59">
        <v>5.0599999999999996</v>
      </c>
      <c r="E191" s="59">
        <v>2.64</v>
      </c>
      <c r="F191" s="59">
        <v>6.88</v>
      </c>
      <c r="G191" s="59">
        <v>0.6</v>
      </c>
      <c r="H191" s="59" t="s">
        <v>101</v>
      </c>
      <c r="I191" s="59">
        <v>251</v>
      </c>
      <c r="J191" s="109">
        <f t="shared" si="4"/>
        <v>31.375</v>
      </c>
      <c r="K191" s="172">
        <v>251</v>
      </c>
      <c r="L191" s="131" t="s">
        <v>512</v>
      </c>
      <c r="M191" s="170"/>
      <c r="N191" s="61" t="s">
        <v>959</v>
      </c>
      <c r="O191" s="179">
        <v>0.5</v>
      </c>
    </row>
    <row r="192" spans="1:15">
      <c r="A192" s="2"/>
      <c r="B192" s="61" t="s">
        <v>1290</v>
      </c>
      <c r="C192" s="59">
        <v>117</v>
      </c>
      <c r="D192" s="59">
        <v>5.09</v>
      </c>
      <c r="E192" s="59">
        <v>2.5299999999999998</v>
      </c>
      <c r="F192" s="59">
        <v>18.86</v>
      </c>
      <c r="G192" s="59">
        <v>2.5</v>
      </c>
      <c r="H192" s="59" t="s">
        <v>1447</v>
      </c>
      <c r="I192" s="59">
        <v>263</v>
      </c>
      <c r="J192" s="109">
        <f t="shared" si="4"/>
        <v>32.875</v>
      </c>
      <c r="K192" s="172">
        <v>263</v>
      </c>
      <c r="L192" s="131" t="s">
        <v>512</v>
      </c>
      <c r="M192" s="170"/>
      <c r="N192" s="61" t="s">
        <v>1246</v>
      </c>
      <c r="O192" s="179">
        <v>0.5</v>
      </c>
    </row>
    <row r="193" spans="1:15">
      <c r="A193" s="2"/>
      <c r="B193" s="61" t="s">
        <v>1301</v>
      </c>
      <c r="C193" s="59">
        <v>51</v>
      </c>
      <c r="D193" s="59">
        <v>1.46</v>
      </c>
      <c r="E193" s="59">
        <v>1.54</v>
      </c>
      <c r="F193" s="59">
        <v>7.92</v>
      </c>
      <c r="G193" s="59">
        <v>0.5</v>
      </c>
      <c r="H193" s="59" t="s">
        <v>96</v>
      </c>
      <c r="I193" s="59">
        <v>245</v>
      </c>
      <c r="J193" s="109">
        <f t="shared" si="4"/>
        <v>61.25</v>
      </c>
      <c r="K193" s="172">
        <v>245</v>
      </c>
      <c r="L193" s="131" t="s">
        <v>512</v>
      </c>
      <c r="M193" s="170"/>
      <c r="N193" s="61" t="s">
        <v>1226</v>
      </c>
      <c r="O193" s="179">
        <v>0.5</v>
      </c>
    </row>
    <row r="194" spans="1:15">
      <c r="A194" s="2"/>
      <c r="B194" s="61" t="s">
        <v>424</v>
      </c>
      <c r="C194" s="59">
        <v>61</v>
      </c>
      <c r="D194" s="59">
        <v>1.74</v>
      </c>
      <c r="E194" s="59">
        <v>1.76</v>
      </c>
      <c r="F194" s="59">
        <v>9.74</v>
      </c>
      <c r="G194" s="59">
        <v>1.2</v>
      </c>
      <c r="H194" s="59" t="s">
        <v>1447</v>
      </c>
      <c r="I194" s="59">
        <v>251</v>
      </c>
      <c r="J194" s="109">
        <f t="shared" si="4"/>
        <v>31.375</v>
      </c>
      <c r="K194" s="172">
        <v>251</v>
      </c>
      <c r="L194" s="131" t="s">
        <v>512</v>
      </c>
      <c r="M194" s="170"/>
      <c r="N194" s="61" t="s">
        <v>1169</v>
      </c>
      <c r="O194" s="179">
        <v>0.5</v>
      </c>
    </row>
    <row r="195" spans="1:15">
      <c r="A195" s="2"/>
      <c r="B195" s="61" t="s">
        <v>425</v>
      </c>
      <c r="C195" s="59">
        <v>72</v>
      </c>
      <c r="D195" s="59">
        <v>3.17</v>
      </c>
      <c r="E195" s="59">
        <v>2.06</v>
      </c>
      <c r="F195" s="59">
        <v>10.32</v>
      </c>
      <c r="G195" s="59">
        <v>0.7</v>
      </c>
      <c r="H195" s="59" t="s">
        <v>95</v>
      </c>
      <c r="I195" s="59">
        <v>126</v>
      </c>
      <c r="J195" s="109">
        <f t="shared" si="4"/>
        <v>31.5</v>
      </c>
      <c r="K195" s="172">
        <v>252</v>
      </c>
      <c r="L195" s="131" t="s">
        <v>512</v>
      </c>
      <c r="M195" s="170"/>
      <c r="N195" s="61" t="s">
        <v>1163</v>
      </c>
      <c r="O195" s="179">
        <v>0.5</v>
      </c>
    </row>
    <row r="196" spans="1:15">
      <c r="A196" s="2"/>
      <c r="B196" s="61" t="s">
        <v>1291</v>
      </c>
      <c r="C196" s="59">
        <v>31</v>
      </c>
      <c r="D196" s="59">
        <v>2.25</v>
      </c>
      <c r="E196" s="59">
        <v>0.62</v>
      </c>
      <c r="F196" s="59">
        <v>4.22</v>
      </c>
      <c r="G196" s="59">
        <v>0.3</v>
      </c>
      <c r="H196" s="59" t="s">
        <v>1447</v>
      </c>
      <c r="I196" s="59">
        <v>244</v>
      </c>
      <c r="J196" s="109">
        <f t="shared" si="4"/>
        <v>30.5</v>
      </c>
      <c r="K196" s="172">
        <v>244</v>
      </c>
      <c r="L196" s="131" t="s">
        <v>512</v>
      </c>
      <c r="M196" s="170"/>
      <c r="N196" s="61" t="s">
        <v>273</v>
      </c>
      <c r="O196" s="179">
        <v>0.5</v>
      </c>
    </row>
    <row r="197" spans="1:15">
      <c r="A197" s="2"/>
      <c r="B197" s="61" t="s">
        <v>69</v>
      </c>
      <c r="C197" s="59">
        <v>69</v>
      </c>
      <c r="D197" s="59">
        <v>1.82</v>
      </c>
      <c r="E197" s="59">
        <v>3.26</v>
      </c>
      <c r="F197" s="59">
        <v>8.52</v>
      </c>
      <c r="G197" s="59">
        <v>0.4</v>
      </c>
      <c r="H197" s="59" t="s">
        <v>1447</v>
      </c>
      <c r="I197" s="59">
        <v>251</v>
      </c>
      <c r="J197" s="109">
        <f t="shared" si="4"/>
        <v>31.375</v>
      </c>
      <c r="K197" s="172">
        <v>251</v>
      </c>
      <c r="L197" s="131" t="s">
        <v>512</v>
      </c>
      <c r="M197" s="170"/>
      <c r="N197" s="61" t="s">
        <v>1047</v>
      </c>
      <c r="O197" s="179">
        <v>0.5</v>
      </c>
    </row>
    <row r="198" spans="1:15">
      <c r="A198" s="2"/>
      <c r="B198" s="61" t="s">
        <v>1287</v>
      </c>
      <c r="C198" s="59">
        <v>72</v>
      </c>
      <c r="D198" s="59">
        <v>1.32</v>
      </c>
      <c r="E198" s="59">
        <v>4.46</v>
      </c>
      <c r="F198" s="59">
        <v>7.03</v>
      </c>
      <c r="G198" s="59">
        <v>0.6</v>
      </c>
      <c r="H198" s="59" t="s">
        <v>101</v>
      </c>
      <c r="I198" s="59">
        <v>251</v>
      </c>
      <c r="J198" s="109">
        <f t="shared" si="4"/>
        <v>31.375</v>
      </c>
      <c r="K198" s="172">
        <v>251</v>
      </c>
      <c r="L198" s="131" t="s">
        <v>512</v>
      </c>
      <c r="M198" s="170"/>
      <c r="N198" s="61" t="s">
        <v>1112</v>
      </c>
      <c r="O198" s="179">
        <v>0.5</v>
      </c>
    </row>
    <row r="199" spans="1:15">
      <c r="A199" s="2"/>
      <c r="B199" s="61" t="s">
        <v>1288</v>
      </c>
      <c r="C199" s="59">
        <v>90</v>
      </c>
      <c r="D199" s="59">
        <v>2.38</v>
      </c>
      <c r="E199" s="59">
        <v>5.77</v>
      </c>
      <c r="F199" s="59">
        <v>7.16</v>
      </c>
      <c r="G199" s="59">
        <v>0</v>
      </c>
      <c r="H199" s="59" t="s">
        <v>101</v>
      </c>
      <c r="I199" s="59">
        <v>251</v>
      </c>
      <c r="J199" s="109">
        <f t="shared" si="4"/>
        <v>31.375</v>
      </c>
      <c r="K199" s="172">
        <v>251</v>
      </c>
      <c r="L199" s="131" t="s">
        <v>512</v>
      </c>
      <c r="M199" s="170"/>
      <c r="N199" s="61" t="s">
        <v>1221</v>
      </c>
      <c r="O199" s="179">
        <v>0.5</v>
      </c>
    </row>
    <row r="200" spans="1:15">
      <c r="A200" s="2"/>
      <c r="B200" s="61" t="s">
        <v>1295</v>
      </c>
      <c r="C200" s="59">
        <v>85</v>
      </c>
      <c r="D200" s="59">
        <v>1.61</v>
      </c>
      <c r="E200" s="59">
        <v>5.89</v>
      </c>
      <c r="F200" s="59">
        <v>6.72</v>
      </c>
      <c r="G200" s="59">
        <v>0</v>
      </c>
      <c r="H200" s="59" t="s">
        <v>101</v>
      </c>
      <c r="I200" s="59">
        <v>242</v>
      </c>
      <c r="J200" s="109">
        <f t="shared" si="4"/>
        <v>30.25</v>
      </c>
      <c r="K200" s="172">
        <v>242</v>
      </c>
      <c r="L200" s="131" t="s">
        <v>512</v>
      </c>
      <c r="M200" s="170"/>
      <c r="N200" s="61" t="s">
        <v>1108</v>
      </c>
      <c r="O200" s="179">
        <v>0.2</v>
      </c>
    </row>
    <row r="201" spans="1:15">
      <c r="A201" s="2"/>
      <c r="B201" s="61" t="s">
        <v>1310</v>
      </c>
      <c r="C201" s="59">
        <v>75</v>
      </c>
      <c r="D201" s="59">
        <v>2.74</v>
      </c>
      <c r="E201" s="59">
        <v>3.78</v>
      </c>
      <c r="F201" s="59">
        <v>7.4</v>
      </c>
      <c r="G201" s="59">
        <v>0.3</v>
      </c>
      <c r="H201" s="59" t="s">
        <v>1447</v>
      </c>
      <c r="I201" s="59">
        <v>248</v>
      </c>
      <c r="J201" s="109">
        <f t="shared" si="4"/>
        <v>31</v>
      </c>
      <c r="K201" s="172">
        <v>248</v>
      </c>
      <c r="L201" s="131" t="s">
        <v>512</v>
      </c>
      <c r="M201" s="170"/>
      <c r="N201" s="61" t="s">
        <v>1104</v>
      </c>
      <c r="O201" s="179">
        <v>0.5</v>
      </c>
    </row>
    <row r="202" spans="1:15">
      <c r="A202" s="2"/>
      <c r="B202" s="61" t="s">
        <v>1298</v>
      </c>
      <c r="C202" s="59">
        <v>59</v>
      </c>
      <c r="D202" s="59">
        <v>1.39</v>
      </c>
      <c r="E202" s="59">
        <v>1.88</v>
      </c>
      <c r="F202" s="59">
        <v>9.14</v>
      </c>
      <c r="G202" s="59">
        <v>0.4</v>
      </c>
      <c r="H202" s="59" t="s">
        <v>1447</v>
      </c>
      <c r="I202" s="59">
        <v>251</v>
      </c>
      <c r="J202" s="109">
        <f t="shared" si="4"/>
        <v>31.375</v>
      </c>
      <c r="K202" s="172">
        <v>251</v>
      </c>
      <c r="L202" s="131" t="s">
        <v>512</v>
      </c>
      <c r="M202" s="170"/>
      <c r="N202" s="61" t="s">
        <v>1106</v>
      </c>
      <c r="O202" s="179">
        <v>0.5</v>
      </c>
    </row>
    <row r="203" spans="1:15">
      <c r="A203" s="2"/>
      <c r="B203" s="61" t="s">
        <v>1292</v>
      </c>
      <c r="C203" s="59">
        <v>11</v>
      </c>
      <c r="D203" s="59">
        <v>0.62</v>
      </c>
      <c r="E203" s="59">
        <v>0.73</v>
      </c>
      <c r="F203" s="59">
        <v>0.72</v>
      </c>
      <c r="G203" s="62"/>
      <c r="H203" s="59" t="s">
        <v>1447</v>
      </c>
      <c r="I203" s="59">
        <v>248</v>
      </c>
      <c r="J203" s="109">
        <f t="shared" si="4"/>
        <v>31</v>
      </c>
      <c r="K203" s="172">
        <v>248</v>
      </c>
      <c r="L203" s="131" t="s">
        <v>512</v>
      </c>
      <c r="M203" s="170"/>
      <c r="N203" s="61" t="s">
        <v>1233</v>
      </c>
      <c r="O203" s="179">
        <v>0.5</v>
      </c>
    </row>
    <row r="204" spans="1:15">
      <c r="A204" s="2"/>
      <c r="B204" s="61" t="s">
        <v>1293</v>
      </c>
      <c r="C204" s="59">
        <v>56</v>
      </c>
      <c r="D204" s="59">
        <v>3.74</v>
      </c>
      <c r="E204" s="59">
        <v>1.1200000000000001</v>
      </c>
      <c r="F204" s="59">
        <v>8.16</v>
      </c>
      <c r="G204" s="62"/>
      <c r="H204" s="59" t="s">
        <v>1447</v>
      </c>
      <c r="I204" s="59">
        <v>248</v>
      </c>
      <c r="J204" s="109">
        <f t="shared" si="4"/>
        <v>31</v>
      </c>
      <c r="K204" s="172">
        <v>248</v>
      </c>
      <c r="L204" s="131" t="s">
        <v>512</v>
      </c>
      <c r="M204" s="170"/>
      <c r="N204" s="61" t="s">
        <v>1244</v>
      </c>
      <c r="O204" s="179">
        <v>0.5</v>
      </c>
    </row>
    <row r="205" spans="1:15">
      <c r="A205" s="2"/>
      <c r="B205" s="61" t="s">
        <v>426</v>
      </c>
      <c r="C205" s="59">
        <v>50</v>
      </c>
      <c r="D205" s="59">
        <v>2</v>
      </c>
      <c r="E205" s="59">
        <v>0.8</v>
      </c>
      <c r="F205" s="59">
        <v>9</v>
      </c>
      <c r="G205" s="59">
        <v>2.4</v>
      </c>
      <c r="H205" s="59" t="s">
        <v>101</v>
      </c>
      <c r="I205" s="59">
        <v>248</v>
      </c>
      <c r="J205" s="110">
        <f t="shared" si="4"/>
        <v>31</v>
      </c>
      <c r="K205" s="172">
        <v>248</v>
      </c>
      <c r="L205" s="131" t="s">
        <v>512</v>
      </c>
      <c r="M205" s="170"/>
      <c r="N205" s="61" t="s">
        <v>1223</v>
      </c>
      <c r="O205" s="179">
        <v>0.1</v>
      </c>
    </row>
    <row r="206" spans="1:15">
      <c r="A206" s="2"/>
      <c r="B206" s="61" t="s">
        <v>1294</v>
      </c>
      <c r="C206" s="59">
        <v>46</v>
      </c>
      <c r="D206" s="59">
        <v>3.06</v>
      </c>
      <c r="E206" s="59">
        <v>1.42</v>
      </c>
      <c r="F206" s="59">
        <v>6.68</v>
      </c>
      <c r="G206" s="59">
        <v>0.7</v>
      </c>
      <c r="H206" s="59" t="s">
        <v>1447</v>
      </c>
      <c r="I206" s="59">
        <v>246</v>
      </c>
      <c r="J206" s="109">
        <f t="shared" si="4"/>
        <v>30.75</v>
      </c>
      <c r="K206" s="172">
        <v>246</v>
      </c>
      <c r="L206" s="131" t="s">
        <v>512</v>
      </c>
      <c r="M206" s="170"/>
      <c r="N206" s="61" t="s">
        <v>1218</v>
      </c>
      <c r="O206" s="179">
        <v>0.5</v>
      </c>
    </row>
    <row r="207" spans="1:15">
      <c r="A207" s="2"/>
      <c r="B207" s="61" t="s">
        <v>1311</v>
      </c>
      <c r="C207" s="59">
        <v>55</v>
      </c>
      <c r="D207" s="59">
        <v>2.5099999999999998</v>
      </c>
      <c r="E207" s="59">
        <v>3.24</v>
      </c>
      <c r="F207" s="59">
        <v>3.99</v>
      </c>
      <c r="G207" s="59">
        <v>0</v>
      </c>
      <c r="H207" s="59" t="s">
        <v>1447</v>
      </c>
      <c r="I207" s="59">
        <v>245</v>
      </c>
      <c r="J207" s="109">
        <f t="shared" si="4"/>
        <v>30.625</v>
      </c>
      <c r="K207" s="172">
        <v>245</v>
      </c>
      <c r="L207" s="131" t="s">
        <v>512</v>
      </c>
      <c r="M207" s="170"/>
      <c r="N207" s="61" t="s">
        <v>960</v>
      </c>
      <c r="O207" s="179">
        <v>0.5</v>
      </c>
    </row>
    <row r="208" spans="1:15">
      <c r="A208" s="2"/>
      <c r="B208" s="61" t="s">
        <v>1296</v>
      </c>
      <c r="C208" s="59">
        <v>125</v>
      </c>
      <c r="D208" s="59">
        <v>6.54</v>
      </c>
      <c r="E208" s="59">
        <v>2.23</v>
      </c>
      <c r="F208" s="59">
        <v>20.18</v>
      </c>
      <c r="G208" s="59">
        <v>3.9</v>
      </c>
      <c r="H208" s="59" t="s">
        <v>95</v>
      </c>
      <c r="I208" s="59">
        <v>127</v>
      </c>
      <c r="J208" s="109">
        <f t="shared" si="4"/>
        <v>31.75</v>
      </c>
      <c r="K208" s="172">
        <v>254</v>
      </c>
      <c r="L208" s="131" t="s">
        <v>512</v>
      </c>
      <c r="M208" s="170"/>
      <c r="N208" s="61" t="s">
        <v>1111</v>
      </c>
      <c r="O208" s="179">
        <v>0.5</v>
      </c>
    </row>
    <row r="209" spans="1:15">
      <c r="A209" s="2"/>
      <c r="B209" s="61" t="s">
        <v>1297</v>
      </c>
      <c r="C209" s="59">
        <v>84</v>
      </c>
      <c r="D209" s="59">
        <v>5.19</v>
      </c>
      <c r="E209" s="59">
        <v>3.78</v>
      </c>
      <c r="F209" s="59">
        <v>7.66</v>
      </c>
      <c r="G209" s="59">
        <v>0.4</v>
      </c>
      <c r="H209" s="59" t="s">
        <v>1447</v>
      </c>
      <c r="I209" s="59">
        <v>246</v>
      </c>
      <c r="J209" s="109">
        <f t="shared" si="4"/>
        <v>30.75</v>
      </c>
      <c r="K209" s="172">
        <v>246</v>
      </c>
      <c r="L209" s="131" t="s">
        <v>512</v>
      </c>
      <c r="M209" s="170"/>
      <c r="N209" s="61" t="s">
        <v>1241</v>
      </c>
      <c r="O209" s="179">
        <v>0.5</v>
      </c>
    </row>
    <row r="210" spans="1:15">
      <c r="A210" s="2"/>
      <c r="B210" s="61" t="s">
        <v>427</v>
      </c>
      <c r="C210" s="59">
        <v>80</v>
      </c>
      <c r="D210" s="59">
        <v>2.7</v>
      </c>
      <c r="E210" s="59">
        <v>5.2</v>
      </c>
      <c r="F210" s="59">
        <v>5.6</v>
      </c>
      <c r="G210" s="59">
        <v>0.6</v>
      </c>
      <c r="H210" s="59" t="s">
        <v>101</v>
      </c>
      <c r="I210" s="59">
        <v>240</v>
      </c>
      <c r="J210" s="109">
        <f t="shared" si="4"/>
        <v>30</v>
      </c>
      <c r="K210" s="172">
        <v>240</v>
      </c>
      <c r="L210" s="131" t="s">
        <v>512</v>
      </c>
      <c r="M210" s="170"/>
      <c r="N210" s="61" t="s">
        <v>1229</v>
      </c>
      <c r="O210" s="179">
        <v>0.25</v>
      </c>
    </row>
    <row r="211" spans="1:15">
      <c r="A211" s="2"/>
      <c r="B211" s="61" t="s">
        <v>428</v>
      </c>
      <c r="C211" s="59">
        <v>77</v>
      </c>
      <c r="D211" s="59">
        <v>4.2</v>
      </c>
      <c r="E211" s="59">
        <v>3.7</v>
      </c>
      <c r="F211" s="59">
        <v>6.8</v>
      </c>
      <c r="G211" s="59">
        <v>2.2999999999999998</v>
      </c>
      <c r="H211" s="59" t="s">
        <v>101</v>
      </c>
      <c r="I211" s="59">
        <v>240</v>
      </c>
      <c r="J211" s="109">
        <f t="shared" si="4"/>
        <v>30</v>
      </c>
      <c r="K211" s="172">
        <v>240</v>
      </c>
      <c r="L211" s="131" t="s">
        <v>512</v>
      </c>
      <c r="M211" s="170"/>
      <c r="N211" s="61" t="s">
        <v>961</v>
      </c>
      <c r="O211" s="179">
        <v>0.5</v>
      </c>
    </row>
    <row r="212" spans="1:15">
      <c r="A212" s="2"/>
      <c r="B212" s="61" t="s">
        <v>1314</v>
      </c>
      <c r="C212" s="59">
        <v>79</v>
      </c>
      <c r="D212" s="59">
        <v>2.5099999999999998</v>
      </c>
      <c r="E212" s="59">
        <v>2.63</v>
      </c>
      <c r="F212" s="59">
        <v>11.73</v>
      </c>
      <c r="G212" s="59">
        <v>0.2</v>
      </c>
      <c r="H212" s="59" t="s">
        <v>1447</v>
      </c>
      <c r="I212" s="59">
        <v>251</v>
      </c>
      <c r="J212" s="109">
        <f t="shared" si="4"/>
        <v>31.375</v>
      </c>
      <c r="K212" s="172">
        <v>251</v>
      </c>
      <c r="L212" s="131" t="s">
        <v>512</v>
      </c>
      <c r="M212" s="170"/>
      <c r="N212" s="61" t="s">
        <v>1236</v>
      </c>
      <c r="O212" s="179">
        <v>0.1</v>
      </c>
    </row>
    <row r="213" spans="1:15">
      <c r="A213" s="2"/>
      <c r="B213" s="61" t="s">
        <v>1299</v>
      </c>
      <c r="C213" s="59">
        <v>93</v>
      </c>
      <c r="D213" s="59">
        <v>1.64</v>
      </c>
      <c r="E213" s="59">
        <v>2.12</v>
      </c>
      <c r="F213" s="59">
        <v>17.079999999999998</v>
      </c>
      <c r="G213" s="59">
        <v>1.3</v>
      </c>
      <c r="H213" s="59" t="s">
        <v>1447</v>
      </c>
      <c r="I213" s="59">
        <v>257</v>
      </c>
      <c r="J213" s="109">
        <f t="shared" si="4"/>
        <v>32.125</v>
      </c>
      <c r="K213" s="172">
        <v>257</v>
      </c>
      <c r="L213" s="131" t="s">
        <v>512</v>
      </c>
      <c r="M213" s="170"/>
      <c r="N213" s="61" t="s">
        <v>1245</v>
      </c>
      <c r="O213" s="179">
        <v>0.2</v>
      </c>
    </row>
    <row r="214" spans="1:15">
      <c r="A214" s="2"/>
      <c r="B214" s="61" t="s">
        <v>429</v>
      </c>
      <c r="C214" s="59">
        <v>30</v>
      </c>
      <c r="D214" s="59">
        <v>1.28</v>
      </c>
      <c r="E214" s="59">
        <v>1.26</v>
      </c>
      <c r="F214" s="59">
        <v>3.58</v>
      </c>
      <c r="G214" s="59">
        <v>0.2</v>
      </c>
      <c r="H214" s="59" t="s">
        <v>1447</v>
      </c>
      <c r="I214" s="59">
        <v>241</v>
      </c>
      <c r="J214" s="109">
        <f t="shared" si="4"/>
        <v>30.125</v>
      </c>
      <c r="K214" s="172">
        <v>241</v>
      </c>
      <c r="L214" s="131" t="s">
        <v>512</v>
      </c>
      <c r="M214" s="170"/>
      <c r="N214" s="61" t="s">
        <v>1243</v>
      </c>
      <c r="O214" s="179">
        <v>0.5</v>
      </c>
    </row>
    <row r="215" spans="1:15" ht="13.5" thickBot="1">
      <c r="A215" s="2"/>
      <c r="B215" s="63" t="s">
        <v>1300</v>
      </c>
      <c r="C215" s="64">
        <v>57</v>
      </c>
      <c r="D215" s="64">
        <v>4.33</v>
      </c>
      <c r="E215" s="64">
        <v>1.87</v>
      </c>
      <c r="F215" s="64">
        <v>5.96</v>
      </c>
      <c r="G215" s="65"/>
      <c r="H215" s="64" t="s">
        <v>1447</v>
      </c>
      <c r="I215" s="64">
        <v>236</v>
      </c>
      <c r="J215" s="111">
        <f t="shared" si="4"/>
        <v>29.5</v>
      </c>
      <c r="K215" s="173">
        <v>236</v>
      </c>
      <c r="L215" s="147" t="s">
        <v>512</v>
      </c>
      <c r="M215" s="170"/>
      <c r="N215" s="61" t="s">
        <v>1227</v>
      </c>
      <c r="O215" s="179">
        <v>0.5</v>
      </c>
    </row>
    <row r="216" spans="1:15" ht="14.25" thickTop="1" thickBot="1">
      <c r="A216" s="2"/>
      <c r="B216" s="2"/>
      <c r="C216" s="2"/>
      <c r="D216" s="2"/>
      <c r="E216" s="2"/>
      <c r="F216" s="2"/>
      <c r="G216" s="2"/>
      <c r="H216" s="2"/>
      <c r="I216" s="2"/>
      <c r="K216" s="2"/>
      <c r="M216" s="170"/>
      <c r="N216" s="61" t="s">
        <v>1446</v>
      </c>
      <c r="O216" s="179">
        <v>0.5</v>
      </c>
    </row>
    <row r="217" spans="1:15" ht="18.75" thickTop="1">
      <c r="B217" s="66" t="s">
        <v>32</v>
      </c>
      <c r="C217" s="67" t="s">
        <v>1474</v>
      </c>
      <c r="D217" s="68" t="s">
        <v>99</v>
      </c>
      <c r="E217" s="67" t="s">
        <v>1475</v>
      </c>
      <c r="F217" s="67" t="s">
        <v>1476</v>
      </c>
      <c r="G217" s="67" t="s">
        <v>1477</v>
      </c>
      <c r="H217" s="68" t="s">
        <v>918</v>
      </c>
      <c r="I217" s="68" t="s">
        <v>919</v>
      </c>
      <c r="J217" s="67" t="s">
        <v>467</v>
      </c>
      <c r="K217" s="67" t="s">
        <v>203</v>
      </c>
      <c r="L217" s="69"/>
      <c r="M217" s="170"/>
      <c r="N217" s="61" t="s">
        <v>273</v>
      </c>
      <c r="O217" s="179">
        <v>0.5</v>
      </c>
    </row>
    <row r="218" spans="1:15">
      <c r="A218" s="2"/>
      <c r="B218" s="61" t="s">
        <v>430</v>
      </c>
      <c r="C218" s="59">
        <v>80</v>
      </c>
      <c r="D218" s="59">
        <v>16.8</v>
      </c>
      <c r="E218" s="59">
        <v>0.39</v>
      </c>
      <c r="F218" s="59">
        <v>2.25</v>
      </c>
      <c r="G218" s="59">
        <v>0</v>
      </c>
      <c r="H218" s="101" t="s">
        <v>135</v>
      </c>
      <c r="I218" s="101">
        <v>42</v>
      </c>
      <c r="J218" s="110">
        <f t="shared" ref="J218:J249" si="5">I218*VLOOKUP(H218,Fractional,2,FALSE)</f>
        <v>10.5</v>
      </c>
      <c r="K218" s="171">
        <v>21</v>
      </c>
      <c r="L218" s="142" t="s">
        <v>561</v>
      </c>
      <c r="M218" s="170"/>
      <c r="N218" s="61" t="s">
        <v>1118</v>
      </c>
      <c r="O218" s="179">
        <v>0.5</v>
      </c>
    </row>
    <row r="219" spans="1:15">
      <c r="A219" s="2"/>
      <c r="B219" s="61" t="s">
        <v>431</v>
      </c>
      <c r="C219" s="59">
        <v>79</v>
      </c>
      <c r="D219" s="59">
        <v>16.79</v>
      </c>
      <c r="E219" s="59">
        <v>0.39</v>
      </c>
      <c r="F219" s="59">
        <v>2.17</v>
      </c>
      <c r="G219" s="59">
        <v>0</v>
      </c>
      <c r="H219" s="59" t="s">
        <v>135</v>
      </c>
      <c r="I219" s="59">
        <v>42</v>
      </c>
      <c r="J219" s="110">
        <f t="shared" si="5"/>
        <v>10.5</v>
      </c>
      <c r="K219" s="172">
        <v>21</v>
      </c>
      <c r="L219" s="142" t="s">
        <v>561</v>
      </c>
      <c r="M219" s="170"/>
      <c r="N219" s="61" t="s">
        <v>1240</v>
      </c>
      <c r="O219" s="179">
        <v>0.5</v>
      </c>
    </row>
    <row r="220" spans="1:15">
      <c r="A220" s="2"/>
      <c r="B220" s="61" t="s">
        <v>216</v>
      </c>
      <c r="C220" s="59">
        <v>107</v>
      </c>
      <c r="D220" s="59">
        <v>18.850000000000001</v>
      </c>
      <c r="E220" s="59">
        <v>2.59</v>
      </c>
      <c r="F220" s="59">
        <v>0.75</v>
      </c>
      <c r="G220" s="59">
        <v>0</v>
      </c>
      <c r="H220" s="59" t="s">
        <v>133</v>
      </c>
      <c r="I220" s="59">
        <v>27</v>
      </c>
      <c r="J220" s="109">
        <f t="shared" si="5"/>
        <v>13.5</v>
      </c>
      <c r="K220" s="172">
        <v>27</v>
      </c>
      <c r="L220" s="142" t="s">
        <v>561</v>
      </c>
      <c r="M220" s="170"/>
      <c r="N220" s="61" t="s">
        <v>1109</v>
      </c>
      <c r="O220" s="179">
        <v>0.5</v>
      </c>
    </row>
    <row r="221" spans="1:15">
      <c r="A221" s="2"/>
      <c r="B221" s="61" t="s">
        <v>432</v>
      </c>
      <c r="C221" s="59">
        <v>134</v>
      </c>
      <c r="D221" s="59">
        <v>14.59</v>
      </c>
      <c r="E221" s="59">
        <v>7.65</v>
      </c>
      <c r="F221" s="59">
        <v>1.79</v>
      </c>
      <c r="G221" s="59">
        <v>0</v>
      </c>
      <c r="H221" s="59" t="s">
        <v>315</v>
      </c>
      <c r="I221" s="59">
        <v>56</v>
      </c>
      <c r="J221" s="110">
        <f t="shared" si="5"/>
        <v>14</v>
      </c>
      <c r="K221" s="172">
        <v>28</v>
      </c>
      <c r="L221" s="148" t="s">
        <v>537</v>
      </c>
      <c r="M221" s="170"/>
      <c r="N221" s="61" t="s">
        <v>1110</v>
      </c>
      <c r="O221" s="179">
        <v>0.5</v>
      </c>
    </row>
    <row r="222" spans="1:15">
      <c r="A222" s="2"/>
      <c r="B222" s="61" t="s">
        <v>217</v>
      </c>
      <c r="C222" s="59">
        <v>95</v>
      </c>
      <c r="D222" s="59">
        <v>19.600000000000001</v>
      </c>
      <c r="E222" s="59">
        <v>1.1599999999999999</v>
      </c>
      <c r="F222" s="59">
        <v>1.54</v>
      </c>
      <c r="G222" s="59">
        <v>0</v>
      </c>
      <c r="H222" s="59" t="s">
        <v>321</v>
      </c>
      <c r="I222" s="59">
        <v>57</v>
      </c>
      <c r="J222" s="110">
        <f t="shared" si="5"/>
        <v>4.5600000000000005</v>
      </c>
      <c r="K222" s="172">
        <v>9.5</v>
      </c>
      <c r="L222" s="142" t="s">
        <v>561</v>
      </c>
      <c r="M222" s="170"/>
      <c r="N222" s="61" t="s">
        <v>1102</v>
      </c>
      <c r="O222" s="179">
        <v>0.5</v>
      </c>
    </row>
    <row r="223" spans="1:15">
      <c r="A223" s="2"/>
      <c r="B223" s="61" t="s">
        <v>218</v>
      </c>
      <c r="C223" s="59">
        <v>123</v>
      </c>
      <c r="D223" s="59">
        <v>16.3</v>
      </c>
      <c r="E223" s="59">
        <v>4.33</v>
      </c>
      <c r="F223" s="59">
        <v>3.68</v>
      </c>
      <c r="G223" s="59">
        <v>0.1</v>
      </c>
      <c r="H223" s="59" t="s">
        <v>130</v>
      </c>
      <c r="I223" s="59">
        <v>57</v>
      </c>
      <c r="J223" s="109">
        <f t="shared" si="5"/>
        <v>14.25</v>
      </c>
      <c r="K223" s="172">
        <v>28.5</v>
      </c>
      <c r="L223" s="142" t="s">
        <v>561</v>
      </c>
      <c r="M223" s="170"/>
      <c r="N223" s="61" t="s">
        <v>1113</v>
      </c>
      <c r="O223" s="179">
        <v>0.5</v>
      </c>
    </row>
    <row r="224" spans="1:15">
      <c r="A224" s="2"/>
      <c r="B224" s="61" t="s">
        <v>219</v>
      </c>
      <c r="C224" s="59">
        <v>104</v>
      </c>
      <c r="D224" s="59">
        <v>17.07</v>
      </c>
      <c r="E224" s="59">
        <v>1.66</v>
      </c>
      <c r="F224" s="59">
        <v>4.21</v>
      </c>
      <c r="G224" s="59">
        <v>0.5</v>
      </c>
      <c r="H224" s="59" t="s">
        <v>1452</v>
      </c>
      <c r="I224" s="59">
        <v>21</v>
      </c>
      <c r="J224" s="109">
        <f t="shared" si="5"/>
        <v>10.5</v>
      </c>
      <c r="K224" s="172">
        <v>21</v>
      </c>
      <c r="L224" s="142" t="s">
        <v>561</v>
      </c>
      <c r="M224" s="170"/>
      <c r="N224" s="61" t="s">
        <v>1114</v>
      </c>
      <c r="O224" s="179">
        <v>0.5</v>
      </c>
    </row>
    <row r="225" spans="1:15">
      <c r="A225" s="2"/>
      <c r="B225" s="61" t="s">
        <v>115</v>
      </c>
      <c r="C225" s="59">
        <v>238</v>
      </c>
      <c r="D225" s="59">
        <v>14.24</v>
      </c>
      <c r="E225" s="59">
        <v>18.8</v>
      </c>
      <c r="F225" s="59">
        <v>2.06</v>
      </c>
      <c r="G225" s="59">
        <v>0</v>
      </c>
      <c r="H225" s="59" t="s">
        <v>1452</v>
      </c>
      <c r="I225" s="59">
        <v>23</v>
      </c>
      <c r="J225" s="109">
        <f t="shared" si="5"/>
        <v>11.5</v>
      </c>
      <c r="K225" s="172">
        <v>23</v>
      </c>
      <c r="L225" s="142" t="s">
        <v>561</v>
      </c>
      <c r="M225" s="170"/>
      <c r="N225" s="61" t="s">
        <v>1105</v>
      </c>
      <c r="O225" s="179">
        <v>0.5</v>
      </c>
    </row>
    <row r="226" spans="1:15">
      <c r="A226" s="2"/>
      <c r="B226" s="61" t="s">
        <v>118</v>
      </c>
      <c r="C226" s="59">
        <v>209</v>
      </c>
      <c r="D226" s="59">
        <v>11.42</v>
      </c>
      <c r="E226" s="59">
        <v>16.05</v>
      </c>
      <c r="F226" s="59">
        <v>4.68</v>
      </c>
      <c r="G226" s="59">
        <v>0.5</v>
      </c>
      <c r="H226" s="59" t="s">
        <v>1452</v>
      </c>
      <c r="I226" s="59">
        <v>28</v>
      </c>
      <c r="J226" s="109">
        <f t="shared" si="5"/>
        <v>14</v>
      </c>
      <c r="K226" s="172">
        <v>28</v>
      </c>
      <c r="L226" s="142" t="s">
        <v>561</v>
      </c>
      <c r="M226" s="170"/>
      <c r="N226" s="61" t="s">
        <v>1115</v>
      </c>
      <c r="O226" s="179">
        <v>0.5</v>
      </c>
    </row>
    <row r="227" spans="1:15">
      <c r="A227" s="2"/>
      <c r="B227" s="61" t="s">
        <v>1317</v>
      </c>
      <c r="C227" s="59">
        <v>311</v>
      </c>
      <c r="D227" s="59">
        <v>10.27</v>
      </c>
      <c r="E227" s="59">
        <v>28.19</v>
      </c>
      <c r="F227" s="59">
        <v>3.98</v>
      </c>
      <c r="G227" s="59">
        <v>0</v>
      </c>
      <c r="H227" s="59" t="s">
        <v>1452</v>
      </c>
      <c r="I227" s="59">
        <v>28</v>
      </c>
      <c r="J227" s="109">
        <f t="shared" si="5"/>
        <v>14</v>
      </c>
      <c r="K227" s="172">
        <v>28</v>
      </c>
      <c r="L227" s="142" t="s">
        <v>561</v>
      </c>
      <c r="M227" s="170"/>
      <c r="N227" s="61" t="s">
        <v>1117</v>
      </c>
      <c r="O227" s="179">
        <v>6.6666666666666666E-2</v>
      </c>
    </row>
    <row r="228" spans="1:15">
      <c r="A228" s="2"/>
      <c r="B228" s="61" t="s">
        <v>1318</v>
      </c>
      <c r="C228" s="59">
        <v>308</v>
      </c>
      <c r="D228" s="59">
        <v>15.2</v>
      </c>
      <c r="E228" s="59">
        <v>24.59</v>
      </c>
      <c r="F228" s="59">
        <v>5.49</v>
      </c>
      <c r="G228" s="59">
        <v>0</v>
      </c>
      <c r="H228" s="59" t="s">
        <v>116</v>
      </c>
      <c r="I228" s="59">
        <v>100</v>
      </c>
      <c r="J228" s="110">
        <f t="shared" si="5"/>
        <v>100</v>
      </c>
      <c r="K228" s="172">
        <v>28.35270768358378</v>
      </c>
      <c r="L228" s="148" t="s">
        <v>537</v>
      </c>
      <c r="M228" s="170"/>
      <c r="N228" s="61" t="s">
        <v>962</v>
      </c>
      <c r="O228" s="179">
        <v>0.375</v>
      </c>
    </row>
    <row r="229" spans="1:15">
      <c r="A229" s="2"/>
      <c r="B229" s="61" t="s">
        <v>117</v>
      </c>
      <c r="C229" s="59">
        <v>247</v>
      </c>
      <c r="D229" s="59">
        <v>15.3</v>
      </c>
      <c r="E229" s="59">
        <v>19.87</v>
      </c>
      <c r="F229" s="59">
        <v>0.73</v>
      </c>
      <c r="G229" s="59">
        <v>0</v>
      </c>
      <c r="H229" s="59" t="s">
        <v>1452</v>
      </c>
      <c r="I229" s="59">
        <v>28</v>
      </c>
      <c r="J229" s="109">
        <f t="shared" si="5"/>
        <v>14</v>
      </c>
      <c r="K229" s="172">
        <v>28</v>
      </c>
      <c r="L229" s="142" t="s">
        <v>561</v>
      </c>
      <c r="M229" s="170"/>
      <c r="N229" s="61" t="s">
        <v>963</v>
      </c>
      <c r="O229" s="179">
        <v>0.5</v>
      </c>
    </row>
    <row r="230" spans="1:15">
      <c r="A230" s="2"/>
      <c r="B230" s="61" t="s">
        <v>1334</v>
      </c>
      <c r="C230" s="59">
        <v>297</v>
      </c>
      <c r="D230" s="59">
        <v>12.2</v>
      </c>
      <c r="E230" s="59">
        <v>26.34</v>
      </c>
      <c r="F230" s="59">
        <v>2</v>
      </c>
      <c r="G230" s="59">
        <v>0</v>
      </c>
      <c r="H230" s="59" t="s">
        <v>320</v>
      </c>
      <c r="I230" s="59">
        <v>66</v>
      </c>
      <c r="J230" s="110">
        <f t="shared" si="5"/>
        <v>66</v>
      </c>
      <c r="K230" s="172">
        <v>28.326180257510728</v>
      </c>
      <c r="L230" s="148" t="s">
        <v>537</v>
      </c>
      <c r="M230" s="170"/>
      <c r="N230" s="61" t="s">
        <v>964</v>
      </c>
      <c r="O230" s="179">
        <v>0.5</v>
      </c>
    </row>
    <row r="231" spans="1:15">
      <c r="A231" s="2"/>
      <c r="B231" s="61" t="s">
        <v>433</v>
      </c>
      <c r="C231" s="59">
        <v>186</v>
      </c>
      <c r="D231" s="59">
        <v>14.45</v>
      </c>
      <c r="E231" s="59">
        <v>13.53</v>
      </c>
      <c r="F231" s="59">
        <v>1.62</v>
      </c>
      <c r="G231" s="59">
        <v>0</v>
      </c>
      <c r="H231" s="59" t="s">
        <v>320</v>
      </c>
      <c r="I231" s="59">
        <v>66</v>
      </c>
      <c r="J231" s="110">
        <f t="shared" si="5"/>
        <v>66</v>
      </c>
      <c r="K231" s="172">
        <v>28.326180257510728</v>
      </c>
      <c r="L231" s="148" t="s">
        <v>537</v>
      </c>
      <c r="M231" s="170"/>
      <c r="N231" s="61" t="s">
        <v>1456</v>
      </c>
      <c r="O231" s="179">
        <v>0.5</v>
      </c>
    </row>
    <row r="232" spans="1:15">
      <c r="A232" s="2"/>
      <c r="B232" s="61" t="s">
        <v>1335</v>
      </c>
      <c r="C232" s="59">
        <v>176</v>
      </c>
      <c r="D232" s="59">
        <v>19.440000000000001</v>
      </c>
      <c r="E232" s="59">
        <v>10.35</v>
      </c>
      <c r="F232" s="59">
        <v>0</v>
      </c>
      <c r="G232" s="59">
        <v>0</v>
      </c>
      <c r="H232" s="59" t="s">
        <v>316</v>
      </c>
      <c r="I232" s="59">
        <v>84</v>
      </c>
      <c r="J232" s="110">
        <f t="shared" si="5"/>
        <v>84</v>
      </c>
      <c r="K232" s="172">
        <v>36.051502145922747</v>
      </c>
      <c r="L232" s="148" t="s">
        <v>537</v>
      </c>
      <c r="M232" s="170"/>
      <c r="N232" s="61" t="s">
        <v>965</v>
      </c>
      <c r="O232" s="179">
        <v>0.5</v>
      </c>
    </row>
    <row r="233" spans="1:15">
      <c r="A233" s="2"/>
      <c r="B233" s="61" t="s">
        <v>1319</v>
      </c>
      <c r="C233" s="59">
        <v>333</v>
      </c>
      <c r="D233" s="59">
        <v>13.72</v>
      </c>
      <c r="E233" s="59">
        <v>29.18</v>
      </c>
      <c r="F233" s="59">
        <v>2.85</v>
      </c>
      <c r="G233" s="59">
        <v>0</v>
      </c>
      <c r="H233" s="59" t="s">
        <v>119</v>
      </c>
      <c r="I233" s="59">
        <v>85</v>
      </c>
      <c r="J233" s="110">
        <f t="shared" si="5"/>
        <v>42.5</v>
      </c>
      <c r="K233" s="172">
        <v>85</v>
      </c>
      <c r="L233" s="142" t="s">
        <v>562</v>
      </c>
      <c r="M233" s="170"/>
      <c r="N233" s="61" t="s">
        <v>966</v>
      </c>
      <c r="O233" s="179">
        <v>0.5</v>
      </c>
    </row>
    <row r="234" spans="1:15">
      <c r="A234" s="2"/>
      <c r="B234" s="61" t="s">
        <v>1320</v>
      </c>
      <c r="C234" s="59">
        <v>323</v>
      </c>
      <c r="D234" s="59">
        <v>14.3</v>
      </c>
      <c r="E234" s="59">
        <v>27.8</v>
      </c>
      <c r="F234" s="59">
        <v>2.93</v>
      </c>
      <c r="G234" s="59">
        <v>0</v>
      </c>
      <c r="H234" s="59" t="s">
        <v>126</v>
      </c>
      <c r="I234" s="59">
        <v>70</v>
      </c>
      <c r="J234" s="110">
        <f t="shared" si="5"/>
        <v>35</v>
      </c>
      <c r="K234" s="172">
        <v>70</v>
      </c>
      <c r="L234" s="142" t="s">
        <v>562</v>
      </c>
      <c r="M234" s="170"/>
      <c r="N234" s="61" t="s">
        <v>967</v>
      </c>
      <c r="O234" s="179">
        <v>0.5</v>
      </c>
    </row>
    <row r="235" spans="1:15">
      <c r="A235" s="2"/>
      <c r="B235" s="61" t="s">
        <v>434</v>
      </c>
      <c r="C235" s="59">
        <v>328</v>
      </c>
      <c r="D235" s="59">
        <v>14.1</v>
      </c>
      <c r="E235" s="59">
        <v>29</v>
      </c>
      <c r="F235" s="59">
        <v>1.51</v>
      </c>
      <c r="G235" s="59">
        <v>0</v>
      </c>
      <c r="H235" s="59" t="s">
        <v>936</v>
      </c>
      <c r="I235" s="59">
        <v>86</v>
      </c>
      <c r="J235" s="110">
        <f t="shared" si="5"/>
        <v>21.5</v>
      </c>
      <c r="K235" s="172">
        <v>43</v>
      </c>
      <c r="L235" s="142" t="s">
        <v>562</v>
      </c>
      <c r="M235" s="170"/>
      <c r="N235" s="61" t="s">
        <v>1168</v>
      </c>
      <c r="O235" s="179">
        <v>0.25</v>
      </c>
    </row>
    <row r="236" spans="1:15">
      <c r="A236" s="2"/>
      <c r="B236" s="61" t="s">
        <v>1321</v>
      </c>
      <c r="C236" s="59">
        <v>110</v>
      </c>
      <c r="D236" s="59">
        <v>16.64</v>
      </c>
      <c r="E236" s="59">
        <v>2.73</v>
      </c>
      <c r="F236" s="59">
        <v>4.66</v>
      </c>
      <c r="G236" s="59">
        <v>0</v>
      </c>
      <c r="H236" s="59" t="s">
        <v>127</v>
      </c>
      <c r="I236" s="59">
        <v>57</v>
      </c>
      <c r="J236" s="109">
        <f t="shared" si="5"/>
        <v>14.25</v>
      </c>
      <c r="K236" s="172">
        <v>28.5</v>
      </c>
      <c r="L236" s="142" t="s">
        <v>561</v>
      </c>
      <c r="M236" s="170"/>
      <c r="N236" s="61" t="s">
        <v>1040</v>
      </c>
      <c r="O236" s="179">
        <v>0.25</v>
      </c>
    </row>
    <row r="237" spans="1:15">
      <c r="A237" s="2"/>
      <c r="B237" s="61" t="s">
        <v>128</v>
      </c>
      <c r="C237" s="59">
        <v>455</v>
      </c>
      <c r="D237" s="59">
        <v>24.1</v>
      </c>
      <c r="E237" s="59">
        <v>38.270000000000003</v>
      </c>
      <c r="F237" s="59">
        <v>1.86</v>
      </c>
      <c r="G237" s="59">
        <v>0</v>
      </c>
      <c r="H237" s="59" t="s">
        <v>126</v>
      </c>
      <c r="I237" s="59">
        <v>60</v>
      </c>
      <c r="J237" s="109">
        <f t="shared" si="5"/>
        <v>30</v>
      </c>
      <c r="K237" s="172">
        <v>60</v>
      </c>
      <c r="L237" s="142" t="s">
        <v>562</v>
      </c>
      <c r="M237" s="170"/>
      <c r="N237" s="61" t="s">
        <v>1457</v>
      </c>
      <c r="O237" s="179">
        <v>0.5</v>
      </c>
    </row>
    <row r="238" spans="1:15">
      <c r="A238" s="2"/>
      <c r="B238" s="61" t="s">
        <v>129</v>
      </c>
      <c r="C238" s="59">
        <v>153</v>
      </c>
      <c r="D238" s="59">
        <v>22.9</v>
      </c>
      <c r="E238" s="59">
        <v>6.1</v>
      </c>
      <c r="F238" s="59">
        <v>0</v>
      </c>
      <c r="G238" s="59">
        <v>0</v>
      </c>
      <c r="H238" s="59" t="s">
        <v>130</v>
      </c>
      <c r="I238" s="59">
        <v>57</v>
      </c>
      <c r="J238" s="109">
        <f t="shared" si="5"/>
        <v>14.25</v>
      </c>
      <c r="K238" s="172">
        <v>28.5</v>
      </c>
      <c r="L238" s="142" t="s">
        <v>561</v>
      </c>
      <c r="M238" s="170"/>
      <c r="N238" s="61" t="s">
        <v>1172</v>
      </c>
      <c r="O238" s="179">
        <v>0.5</v>
      </c>
    </row>
    <row r="239" spans="1:15">
      <c r="A239" s="2"/>
      <c r="B239" s="61" t="s">
        <v>435</v>
      </c>
      <c r="C239" s="59">
        <v>273</v>
      </c>
      <c r="D239" s="59">
        <v>12</v>
      </c>
      <c r="E239" s="59">
        <v>22.91</v>
      </c>
      <c r="F239" s="59">
        <v>3.93</v>
      </c>
      <c r="G239" s="59">
        <v>0.3</v>
      </c>
      <c r="H239" s="59" t="s">
        <v>1452</v>
      </c>
      <c r="I239" s="59">
        <v>38</v>
      </c>
      <c r="J239" s="110">
        <f t="shared" si="5"/>
        <v>19</v>
      </c>
      <c r="K239" s="172">
        <v>38</v>
      </c>
      <c r="L239" s="142" t="s">
        <v>561</v>
      </c>
      <c r="M239" s="170"/>
      <c r="N239" s="61" t="s">
        <v>968</v>
      </c>
      <c r="O239" s="179">
        <v>0.5</v>
      </c>
    </row>
    <row r="240" spans="1:15">
      <c r="A240" s="2"/>
      <c r="B240" s="61" t="s">
        <v>1322</v>
      </c>
      <c r="C240" s="59">
        <v>330</v>
      </c>
      <c r="D240" s="59">
        <v>11.24</v>
      </c>
      <c r="E240" s="59">
        <v>29.57</v>
      </c>
      <c r="F240" s="59">
        <v>4.0599999999999996</v>
      </c>
      <c r="G240" s="59">
        <v>0</v>
      </c>
      <c r="H240" s="59" t="s">
        <v>131</v>
      </c>
      <c r="I240" s="59">
        <v>57</v>
      </c>
      <c r="J240" s="109">
        <f t="shared" si="5"/>
        <v>28.5</v>
      </c>
      <c r="K240" s="172">
        <v>57</v>
      </c>
      <c r="L240" s="142" t="s">
        <v>563</v>
      </c>
      <c r="M240" s="170"/>
      <c r="N240" s="61" t="s">
        <v>969</v>
      </c>
      <c r="O240" s="179">
        <v>0.5</v>
      </c>
    </row>
    <row r="241" spans="1:15">
      <c r="A241" s="2"/>
      <c r="B241" s="61" t="s">
        <v>1323</v>
      </c>
      <c r="C241" s="59">
        <v>305</v>
      </c>
      <c r="D241" s="59">
        <v>11.53</v>
      </c>
      <c r="E241" s="59">
        <v>27.64</v>
      </c>
      <c r="F241" s="59">
        <v>1.72</v>
      </c>
      <c r="G241" s="59">
        <v>0</v>
      </c>
      <c r="H241" s="59" t="s">
        <v>131</v>
      </c>
      <c r="I241" s="59">
        <v>45</v>
      </c>
      <c r="J241" s="110">
        <f t="shared" si="5"/>
        <v>22.5</v>
      </c>
      <c r="K241" s="172">
        <v>45</v>
      </c>
      <c r="L241" s="142" t="s">
        <v>563</v>
      </c>
      <c r="M241" s="170"/>
      <c r="N241" s="61" t="s">
        <v>1216</v>
      </c>
      <c r="O241" s="179">
        <v>0.5</v>
      </c>
    </row>
    <row r="242" spans="1:15">
      <c r="A242" s="2"/>
      <c r="B242" s="61" t="s">
        <v>1324</v>
      </c>
      <c r="C242" s="59">
        <v>223</v>
      </c>
      <c r="D242" s="59">
        <v>15.51</v>
      </c>
      <c r="E242" s="59">
        <v>16.190000000000001</v>
      </c>
      <c r="F242" s="59">
        <v>2.74</v>
      </c>
      <c r="G242" s="59">
        <v>0.4</v>
      </c>
      <c r="H242" s="59" t="s">
        <v>126</v>
      </c>
      <c r="I242" s="59">
        <v>45</v>
      </c>
      <c r="J242" s="110">
        <f t="shared" si="5"/>
        <v>22.5</v>
      </c>
      <c r="K242" s="172">
        <v>45</v>
      </c>
      <c r="L242" s="142" t="s">
        <v>562</v>
      </c>
      <c r="M242" s="170"/>
      <c r="N242" s="61" t="s">
        <v>970</v>
      </c>
      <c r="O242" s="179">
        <v>0.5</v>
      </c>
    </row>
    <row r="243" spans="1:15">
      <c r="A243" s="2"/>
      <c r="B243" s="61" t="s">
        <v>146</v>
      </c>
      <c r="C243" s="59">
        <v>269</v>
      </c>
      <c r="D243" s="59">
        <v>12.81</v>
      </c>
      <c r="E243" s="59">
        <v>23.68</v>
      </c>
      <c r="F243" s="59">
        <v>0.28000000000000003</v>
      </c>
      <c r="G243" s="59">
        <v>0.1</v>
      </c>
      <c r="H243" s="59" t="s">
        <v>126</v>
      </c>
      <c r="I243" s="59">
        <v>76</v>
      </c>
      <c r="J243" s="110">
        <f t="shared" si="5"/>
        <v>38</v>
      </c>
      <c r="K243" s="172">
        <v>76</v>
      </c>
      <c r="L243" s="142" t="s">
        <v>562</v>
      </c>
      <c r="M243" s="170"/>
      <c r="N243" s="61" t="s">
        <v>971</v>
      </c>
      <c r="O243" s="179">
        <v>1</v>
      </c>
    </row>
    <row r="244" spans="1:15">
      <c r="A244" s="2"/>
      <c r="B244" s="61" t="s">
        <v>132</v>
      </c>
      <c r="C244" s="59">
        <v>223</v>
      </c>
      <c r="D244" s="59">
        <v>12.23</v>
      </c>
      <c r="E244" s="59">
        <v>17.29</v>
      </c>
      <c r="F244" s="59">
        <v>3.81</v>
      </c>
      <c r="G244" s="59">
        <v>0</v>
      </c>
      <c r="H244" s="59" t="s">
        <v>131</v>
      </c>
      <c r="I244" s="59">
        <v>45</v>
      </c>
      <c r="J244" s="109">
        <f t="shared" si="5"/>
        <v>22.5</v>
      </c>
      <c r="K244" s="172">
        <v>45</v>
      </c>
      <c r="L244" s="142" t="s">
        <v>563</v>
      </c>
      <c r="M244" s="170"/>
      <c r="N244" s="61" t="s">
        <v>972</v>
      </c>
      <c r="O244" s="179">
        <v>0.5</v>
      </c>
    </row>
    <row r="245" spans="1:15">
      <c r="A245" s="2"/>
      <c r="B245" s="61" t="s">
        <v>145</v>
      </c>
      <c r="C245" s="59">
        <v>122</v>
      </c>
      <c r="D245" s="59">
        <v>17.93</v>
      </c>
      <c r="E245" s="59">
        <v>2.37</v>
      </c>
      <c r="F245" s="59">
        <v>7.27</v>
      </c>
      <c r="G245" s="59">
        <v>0</v>
      </c>
      <c r="H245" s="59" t="s">
        <v>1452</v>
      </c>
      <c r="I245" s="59">
        <v>28</v>
      </c>
      <c r="J245" s="110">
        <f t="shared" si="5"/>
        <v>14</v>
      </c>
      <c r="K245" s="172">
        <v>28</v>
      </c>
      <c r="L245" s="142" t="s">
        <v>561</v>
      </c>
      <c r="M245" s="170"/>
      <c r="N245" s="61" t="s">
        <v>75</v>
      </c>
      <c r="O245" s="179">
        <v>0.5</v>
      </c>
    </row>
    <row r="246" spans="1:15">
      <c r="A246" s="2"/>
      <c r="B246" s="61" t="s">
        <v>436</v>
      </c>
      <c r="C246" s="59">
        <v>163</v>
      </c>
      <c r="D246" s="59">
        <v>16.600000000000001</v>
      </c>
      <c r="E246" s="59">
        <v>8.6</v>
      </c>
      <c r="F246" s="59">
        <v>3.83</v>
      </c>
      <c r="G246" s="59">
        <v>1.3</v>
      </c>
      <c r="H246" s="59" t="s">
        <v>1452</v>
      </c>
      <c r="I246" s="59">
        <v>28</v>
      </c>
      <c r="J246" s="109">
        <f t="shared" si="5"/>
        <v>14</v>
      </c>
      <c r="K246" s="172">
        <v>28</v>
      </c>
      <c r="L246" s="142" t="s">
        <v>561</v>
      </c>
      <c r="M246" s="170"/>
      <c r="N246" s="61" t="s">
        <v>98</v>
      </c>
      <c r="O246" s="179">
        <v>0.5</v>
      </c>
    </row>
    <row r="247" spans="1:15">
      <c r="A247" s="2"/>
      <c r="B247" s="61" t="s">
        <v>18</v>
      </c>
      <c r="C247" s="59">
        <v>182</v>
      </c>
      <c r="D247" s="59">
        <v>18.579999999999998</v>
      </c>
      <c r="E247" s="59">
        <v>10.5</v>
      </c>
      <c r="F247" s="59">
        <v>2.1800000000000002</v>
      </c>
      <c r="G247" s="59">
        <v>0</v>
      </c>
      <c r="H247" s="59" t="s">
        <v>1452</v>
      </c>
      <c r="I247" s="59">
        <v>23</v>
      </c>
      <c r="J247" s="109">
        <f t="shared" si="5"/>
        <v>11.5</v>
      </c>
      <c r="K247" s="172">
        <v>23</v>
      </c>
      <c r="L247" s="142" t="s">
        <v>561</v>
      </c>
      <c r="M247" s="170"/>
      <c r="N247" s="61" t="s">
        <v>973</v>
      </c>
      <c r="O247" s="179">
        <v>0.5</v>
      </c>
    </row>
    <row r="248" spans="1:15">
      <c r="A248" s="2"/>
      <c r="B248" s="61" t="s">
        <v>1325</v>
      </c>
      <c r="C248" s="59">
        <v>309</v>
      </c>
      <c r="D248" s="59">
        <v>12.23</v>
      </c>
      <c r="E248" s="59">
        <v>27.29</v>
      </c>
      <c r="F248" s="59">
        <v>2.81</v>
      </c>
      <c r="G248" s="59">
        <v>0</v>
      </c>
      <c r="H248" s="59" t="s">
        <v>126</v>
      </c>
      <c r="I248" s="59">
        <v>75</v>
      </c>
      <c r="J248" s="109">
        <f t="shared" si="5"/>
        <v>37.5</v>
      </c>
      <c r="K248" s="172">
        <v>75</v>
      </c>
      <c r="L248" s="142" t="s">
        <v>562</v>
      </c>
      <c r="M248" s="170"/>
      <c r="N248" s="61" t="s">
        <v>1098</v>
      </c>
      <c r="O248" s="179">
        <v>0.1</v>
      </c>
    </row>
    <row r="249" spans="1:15">
      <c r="A249" s="2"/>
      <c r="B249" s="61" t="s">
        <v>437</v>
      </c>
      <c r="C249" s="59">
        <v>226</v>
      </c>
      <c r="D249" s="59">
        <v>13.1</v>
      </c>
      <c r="E249" s="59">
        <v>17.600000000000001</v>
      </c>
      <c r="F249" s="59">
        <v>3.9</v>
      </c>
      <c r="G249" s="59">
        <v>0</v>
      </c>
      <c r="H249" s="59" t="s">
        <v>315</v>
      </c>
      <c r="I249" s="59">
        <v>56</v>
      </c>
      <c r="J249" s="110">
        <f t="shared" si="5"/>
        <v>14</v>
      </c>
      <c r="K249" s="172">
        <v>28</v>
      </c>
      <c r="L249" s="148" t="s">
        <v>537</v>
      </c>
      <c r="M249" s="170"/>
      <c r="N249" s="61" t="s">
        <v>470</v>
      </c>
      <c r="O249" s="179">
        <v>0.25</v>
      </c>
    </row>
    <row r="250" spans="1:15" ht="13.5" thickBot="1">
      <c r="A250" s="2"/>
      <c r="B250" s="61" t="s">
        <v>438</v>
      </c>
      <c r="C250" s="59">
        <v>307</v>
      </c>
      <c r="D250" s="59">
        <v>11.1</v>
      </c>
      <c r="E250" s="59">
        <v>27.7</v>
      </c>
      <c r="F250" s="59">
        <v>3.2</v>
      </c>
      <c r="G250" s="59">
        <v>0</v>
      </c>
      <c r="H250" s="59" t="s">
        <v>126</v>
      </c>
      <c r="I250" s="59">
        <v>72</v>
      </c>
      <c r="J250" s="109">
        <f t="shared" ref="J250:J278" si="6">I250*VLOOKUP(H250,Fractional,2,FALSE)</f>
        <v>36</v>
      </c>
      <c r="K250" s="172">
        <v>72</v>
      </c>
      <c r="L250" s="142" t="s">
        <v>562</v>
      </c>
      <c r="M250" s="170"/>
      <c r="N250" s="113">
        <v>0</v>
      </c>
      <c r="O250" s="182">
        <v>1</v>
      </c>
    </row>
    <row r="251" spans="1:15" ht="13.5" thickTop="1">
      <c r="A251" s="2"/>
      <c r="B251" s="61" t="s">
        <v>439</v>
      </c>
      <c r="C251" s="59">
        <v>117</v>
      </c>
      <c r="D251" s="59">
        <v>17.940000000000001</v>
      </c>
      <c r="E251" s="59">
        <v>3.4</v>
      </c>
      <c r="F251" s="59">
        <v>2.59</v>
      </c>
      <c r="G251" s="59">
        <v>0</v>
      </c>
      <c r="H251" s="59" t="s">
        <v>133</v>
      </c>
      <c r="I251" s="59">
        <v>10</v>
      </c>
      <c r="J251" s="109">
        <f t="shared" si="6"/>
        <v>5</v>
      </c>
      <c r="K251" s="172">
        <v>10</v>
      </c>
      <c r="L251" s="142" t="s">
        <v>561</v>
      </c>
      <c r="M251" s="170"/>
    </row>
    <row r="252" spans="1:15">
      <c r="A252" s="2"/>
      <c r="B252" s="61" t="s">
        <v>136</v>
      </c>
      <c r="C252" s="59">
        <v>308</v>
      </c>
      <c r="D252" s="59">
        <v>14.4</v>
      </c>
      <c r="E252" s="59">
        <v>26.2</v>
      </c>
      <c r="F252" s="59">
        <v>2.9</v>
      </c>
      <c r="G252" s="59">
        <v>0</v>
      </c>
      <c r="H252" s="59" t="s">
        <v>1452</v>
      </c>
      <c r="I252" s="59">
        <v>28</v>
      </c>
      <c r="J252" s="109">
        <f t="shared" si="6"/>
        <v>14</v>
      </c>
      <c r="K252" s="172">
        <v>28</v>
      </c>
      <c r="L252" s="142" t="s">
        <v>561</v>
      </c>
      <c r="M252" s="170"/>
    </row>
    <row r="253" spans="1:15">
      <c r="A253" s="2"/>
      <c r="B253" s="61" t="s">
        <v>138</v>
      </c>
      <c r="C253" s="59">
        <v>353</v>
      </c>
      <c r="D253" s="59">
        <v>12.59</v>
      </c>
      <c r="E253" s="59">
        <v>32.159999999999997</v>
      </c>
      <c r="F253" s="59">
        <v>2.33</v>
      </c>
      <c r="G253" s="59">
        <v>0</v>
      </c>
      <c r="H253" s="59" t="s">
        <v>139</v>
      </c>
      <c r="I253" s="59">
        <v>28</v>
      </c>
      <c r="J253" s="109">
        <f t="shared" si="6"/>
        <v>14</v>
      </c>
      <c r="K253" s="172">
        <v>28</v>
      </c>
      <c r="L253" s="142" t="s">
        <v>561</v>
      </c>
      <c r="M253" s="170"/>
    </row>
    <row r="254" spans="1:15">
      <c r="A254" s="2"/>
      <c r="B254" s="61" t="s">
        <v>137</v>
      </c>
      <c r="C254" s="59">
        <v>334</v>
      </c>
      <c r="D254" s="59">
        <v>12.5</v>
      </c>
      <c r="E254" s="59">
        <v>30.3</v>
      </c>
      <c r="F254" s="59">
        <v>2.1</v>
      </c>
      <c r="G254" s="59">
        <v>0</v>
      </c>
      <c r="H254" s="59" t="s">
        <v>1452</v>
      </c>
      <c r="I254" s="59">
        <v>21</v>
      </c>
      <c r="J254" s="109">
        <f t="shared" si="6"/>
        <v>10.5</v>
      </c>
      <c r="K254" s="172">
        <v>21</v>
      </c>
      <c r="L254" s="142" t="s">
        <v>561</v>
      </c>
      <c r="M254" s="170"/>
    </row>
    <row r="255" spans="1:15">
      <c r="A255" s="2"/>
      <c r="B255" s="61" t="s">
        <v>1333</v>
      </c>
      <c r="C255" s="59">
        <v>260</v>
      </c>
      <c r="D255" s="59">
        <v>15.38</v>
      </c>
      <c r="E255" s="59">
        <v>20.9</v>
      </c>
      <c r="F255" s="59">
        <v>1.58</v>
      </c>
      <c r="G255" s="59">
        <v>0</v>
      </c>
      <c r="H255" s="59" t="s">
        <v>1452</v>
      </c>
      <c r="I255" s="59">
        <v>23</v>
      </c>
      <c r="J255" s="109">
        <f t="shared" si="6"/>
        <v>11.5</v>
      </c>
      <c r="K255" s="172">
        <v>23</v>
      </c>
      <c r="L255" s="142" t="s">
        <v>561</v>
      </c>
      <c r="M255" s="170"/>
    </row>
    <row r="256" spans="1:15">
      <c r="A256" s="2"/>
      <c r="B256" s="61" t="s">
        <v>440</v>
      </c>
      <c r="C256" s="59">
        <v>228</v>
      </c>
      <c r="D256" s="59">
        <v>11.76</v>
      </c>
      <c r="E256" s="59">
        <v>14.96</v>
      </c>
      <c r="F256" s="59">
        <v>11.63</v>
      </c>
      <c r="G256" s="59">
        <v>0</v>
      </c>
      <c r="H256" s="59" t="s">
        <v>1452</v>
      </c>
      <c r="I256" s="59">
        <v>38</v>
      </c>
      <c r="J256" s="110">
        <f t="shared" si="6"/>
        <v>19</v>
      </c>
      <c r="K256" s="172">
        <v>38</v>
      </c>
      <c r="L256" s="142" t="s">
        <v>561</v>
      </c>
      <c r="M256" s="170"/>
    </row>
    <row r="257" spans="1:13">
      <c r="A257" s="2"/>
      <c r="B257" s="61" t="s">
        <v>140</v>
      </c>
      <c r="C257" s="59">
        <v>311</v>
      </c>
      <c r="D257" s="59">
        <v>16.37</v>
      </c>
      <c r="E257" s="59">
        <v>25.39</v>
      </c>
      <c r="F257" s="59">
        <v>3.05</v>
      </c>
      <c r="G257" s="59">
        <v>0</v>
      </c>
      <c r="H257" s="59" t="s">
        <v>1452</v>
      </c>
      <c r="I257" s="59">
        <v>15</v>
      </c>
      <c r="J257" s="109">
        <f t="shared" si="6"/>
        <v>7.5</v>
      </c>
      <c r="K257" s="172">
        <v>15</v>
      </c>
      <c r="L257" s="142" t="s">
        <v>561</v>
      </c>
      <c r="M257" s="170"/>
    </row>
    <row r="258" spans="1:13">
      <c r="A258" s="2"/>
      <c r="B258" s="61" t="s">
        <v>141</v>
      </c>
      <c r="C258" s="59">
        <v>235</v>
      </c>
      <c r="D258" s="59">
        <v>11.8</v>
      </c>
      <c r="E258" s="59">
        <v>16.5</v>
      </c>
      <c r="F258" s="59">
        <v>9.1999999999999993</v>
      </c>
      <c r="G258" s="59">
        <v>0</v>
      </c>
      <c r="H258" s="59" t="s">
        <v>1452</v>
      </c>
      <c r="I258" s="59">
        <v>28</v>
      </c>
      <c r="J258" s="109">
        <f t="shared" si="6"/>
        <v>14</v>
      </c>
      <c r="K258" s="172">
        <v>28</v>
      </c>
      <c r="L258" s="142" t="s">
        <v>561</v>
      </c>
      <c r="M258" s="170"/>
    </row>
    <row r="259" spans="1:13">
      <c r="A259" s="2"/>
      <c r="B259" s="61" t="s">
        <v>1326</v>
      </c>
      <c r="C259" s="59">
        <v>149</v>
      </c>
      <c r="D259" s="59">
        <v>17.3</v>
      </c>
      <c r="E259" s="59">
        <v>6.37</v>
      </c>
      <c r="F259" s="59">
        <v>4.5999999999999996</v>
      </c>
      <c r="G259" s="59">
        <v>0</v>
      </c>
      <c r="H259" s="59" t="s">
        <v>937</v>
      </c>
      <c r="I259" s="59">
        <v>85</v>
      </c>
      <c r="J259" s="110">
        <f t="shared" si="6"/>
        <v>14.450000000000001</v>
      </c>
      <c r="K259" s="172">
        <v>28.333333333333332</v>
      </c>
      <c r="L259" s="142" t="s">
        <v>561</v>
      </c>
      <c r="M259" s="170"/>
    </row>
    <row r="260" spans="1:13">
      <c r="A260" s="2"/>
      <c r="B260" s="61" t="s">
        <v>142</v>
      </c>
      <c r="C260" s="59">
        <v>494</v>
      </c>
      <c r="D260" s="59">
        <v>22.68</v>
      </c>
      <c r="E260" s="59">
        <v>43.98</v>
      </c>
      <c r="F260" s="59">
        <v>0</v>
      </c>
      <c r="G260" s="59">
        <v>0</v>
      </c>
      <c r="H260" s="59" t="s">
        <v>143</v>
      </c>
      <c r="I260" s="59">
        <v>2</v>
      </c>
      <c r="J260" s="109">
        <f t="shared" si="6"/>
        <v>1</v>
      </c>
      <c r="K260" s="172">
        <v>2</v>
      </c>
      <c r="L260" s="142" t="s">
        <v>561</v>
      </c>
      <c r="M260" s="170"/>
    </row>
    <row r="261" spans="1:13">
      <c r="A261" s="2"/>
      <c r="B261" s="61" t="s">
        <v>144</v>
      </c>
      <c r="C261" s="59">
        <v>326</v>
      </c>
      <c r="D261" s="59">
        <v>14.1</v>
      </c>
      <c r="E261" s="59">
        <v>28.72</v>
      </c>
      <c r="F261" s="59">
        <v>1.63</v>
      </c>
      <c r="G261" s="59">
        <v>0</v>
      </c>
      <c r="H261" s="59" t="s">
        <v>938</v>
      </c>
      <c r="I261" s="59">
        <v>227</v>
      </c>
      <c r="J261" s="109">
        <f t="shared" si="6"/>
        <v>113.5</v>
      </c>
      <c r="K261" s="172">
        <v>227</v>
      </c>
      <c r="L261" s="142" t="s">
        <v>564</v>
      </c>
      <c r="M261" s="170"/>
    </row>
    <row r="262" spans="1:13">
      <c r="A262" s="2"/>
      <c r="B262" s="61" t="s">
        <v>1327</v>
      </c>
      <c r="C262" s="59">
        <v>304</v>
      </c>
      <c r="D262" s="59">
        <v>15.09</v>
      </c>
      <c r="E262" s="59">
        <v>26.53</v>
      </c>
      <c r="F262" s="59">
        <v>0</v>
      </c>
      <c r="G262" s="59">
        <v>0</v>
      </c>
      <c r="H262" s="59" t="s">
        <v>938</v>
      </c>
      <c r="I262" s="59">
        <v>227</v>
      </c>
      <c r="J262" s="110">
        <f t="shared" si="6"/>
        <v>113.5</v>
      </c>
      <c r="K262" s="172">
        <v>227</v>
      </c>
      <c r="L262" s="142" t="s">
        <v>564</v>
      </c>
      <c r="M262" s="170"/>
    </row>
    <row r="263" spans="1:13">
      <c r="A263" s="2"/>
      <c r="B263" s="61" t="s">
        <v>1329</v>
      </c>
      <c r="C263" s="59">
        <v>261</v>
      </c>
      <c r="D263" s="59">
        <v>12.6</v>
      </c>
      <c r="E263" s="59">
        <v>22.2</v>
      </c>
      <c r="F263" s="59">
        <v>1.9</v>
      </c>
      <c r="G263" s="59">
        <v>0</v>
      </c>
      <c r="H263" s="59" t="s">
        <v>1452</v>
      </c>
      <c r="I263" s="59">
        <v>26</v>
      </c>
      <c r="J263" s="109">
        <f t="shared" si="6"/>
        <v>13</v>
      </c>
      <c r="K263" s="172">
        <v>26</v>
      </c>
      <c r="L263" s="142" t="s">
        <v>561</v>
      </c>
      <c r="M263" s="170"/>
    </row>
    <row r="264" spans="1:13">
      <c r="A264" s="2"/>
      <c r="B264" s="61" t="s">
        <v>322</v>
      </c>
      <c r="C264" s="59">
        <v>425</v>
      </c>
      <c r="D264" s="59">
        <v>21.7</v>
      </c>
      <c r="E264" s="59">
        <v>37</v>
      </c>
      <c r="F264" s="59">
        <v>1.2</v>
      </c>
      <c r="G264" s="59">
        <v>0</v>
      </c>
      <c r="H264" s="59" t="s">
        <v>104</v>
      </c>
      <c r="I264" s="59">
        <v>28</v>
      </c>
      <c r="J264" s="110">
        <f t="shared" si="6"/>
        <v>14</v>
      </c>
      <c r="K264" s="172">
        <v>28</v>
      </c>
      <c r="L264" s="142" t="s">
        <v>537</v>
      </c>
      <c r="M264" s="170"/>
    </row>
    <row r="265" spans="1:13">
      <c r="A265" s="2"/>
      <c r="B265" s="61" t="s">
        <v>441</v>
      </c>
      <c r="C265" s="59">
        <v>350</v>
      </c>
      <c r="D265" s="59">
        <v>21.8</v>
      </c>
      <c r="E265" s="59">
        <v>26.4</v>
      </c>
      <c r="F265" s="59">
        <v>6.4</v>
      </c>
      <c r="G265" s="59">
        <v>0</v>
      </c>
      <c r="H265" s="59" t="s">
        <v>147</v>
      </c>
      <c r="I265" s="59">
        <v>28</v>
      </c>
      <c r="J265" s="110">
        <f t="shared" si="6"/>
        <v>2.8000000000000003</v>
      </c>
      <c r="K265" s="172">
        <v>5.6</v>
      </c>
      <c r="L265" s="142" t="s">
        <v>561</v>
      </c>
      <c r="M265" s="170"/>
    </row>
    <row r="266" spans="1:13">
      <c r="A266" s="2"/>
      <c r="B266" s="61" t="s">
        <v>1330</v>
      </c>
      <c r="C266" s="59">
        <v>336</v>
      </c>
      <c r="D266" s="59">
        <v>21.85</v>
      </c>
      <c r="E266" s="59">
        <v>25.9</v>
      </c>
      <c r="F266" s="59">
        <v>2.4</v>
      </c>
      <c r="G266" s="59">
        <v>0</v>
      </c>
      <c r="H266" s="59" t="s">
        <v>143</v>
      </c>
      <c r="I266" s="59">
        <v>12</v>
      </c>
      <c r="J266" s="110">
        <f t="shared" si="6"/>
        <v>6</v>
      </c>
      <c r="K266" s="172">
        <v>12</v>
      </c>
      <c r="L266" s="142" t="s">
        <v>561</v>
      </c>
      <c r="M266" s="170"/>
    </row>
    <row r="267" spans="1:13">
      <c r="A267" s="2"/>
      <c r="B267" s="61" t="s">
        <v>14</v>
      </c>
      <c r="C267" s="59">
        <v>172</v>
      </c>
      <c r="D267" s="59">
        <v>19.3</v>
      </c>
      <c r="E267" s="59">
        <v>9.2100000000000009</v>
      </c>
      <c r="F267" s="59">
        <v>1.55</v>
      </c>
      <c r="G267" s="59">
        <v>0.1</v>
      </c>
      <c r="H267" s="59" t="s">
        <v>1453</v>
      </c>
      <c r="I267" s="59">
        <v>28</v>
      </c>
      <c r="J267" s="110">
        <f t="shared" si="6"/>
        <v>7</v>
      </c>
      <c r="K267" s="172">
        <v>28</v>
      </c>
      <c r="L267" s="142" t="s">
        <v>560</v>
      </c>
      <c r="M267" s="170"/>
    </row>
    <row r="268" spans="1:13">
      <c r="A268" s="2"/>
      <c r="B268" s="61" t="s">
        <v>15</v>
      </c>
      <c r="C268" s="59">
        <v>407</v>
      </c>
      <c r="D268" s="59">
        <v>22.58</v>
      </c>
      <c r="E268" s="59">
        <v>33.72</v>
      </c>
      <c r="F268" s="59">
        <v>1.6</v>
      </c>
      <c r="G268" s="59">
        <v>0</v>
      </c>
      <c r="H268" s="59" t="s">
        <v>1452</v>
      </c>
      <c r="I268" s="59">
        <v>10</v>
      </c>
      <c r="J268" s="109">
        <f t="shared" si="6"/>
        <v>5</v>
      </c>
      <c r="K268" s="172">
        <v>10</v>
      </c>
      <c r="L268" s="142" t="s">
        <v>561</v>
      </c>
      <c r="M268" s="170"/>
    </row>
    <row r="269" spans="1:13">
      <c r="A269" s="2"/>
      <c r="B269" s="61" t="s">
        <v>1331</v>
      </c>
      <c r="C269" s="59">
        <v>385</v>
      </c>
      <c r="D269" s="59">
        <v>23.2</v>
      </c>
      <c r="E269" s="59">
        <v>30.05</v>
      </c>
      <c r="F269" s="59">
        <v>3.8</v>
      </c>
      <c r="G269" s="59">
        <v>0</v>
      </c>
      <c r="H269" s="59" t="s">
        <v>16</v>
      </c>
      <c r="I269" s="59">
        <v>28</v>
      </c>
      <c r="J269" s="109">
        <f t="shared" si="6"/>
        <v>4.7600000000000007</v>
      </c>
      <c r="K269" s="172">
        <v>9.3333333333333339</v>
      </c>
      <c r="L269" s="142" t="s">
        <v>561</v>
      </c>
      <c r="M269" s="170"/>
    </row>
    <row r="270" spans="1:13">
      <c r="A270" s="2"/>
      <c r="B270" s="61" t="s">
        <v>317</v>
      </c>
      <c r="C270" s="59">
        <v>149</v>
      </c>
      <c r="D270" s="59">
        <v>16.13</v>
      </c>
      <c r="E270" s="59">
        <v>8.42</v>
      </c>
      <c r="F270" s="59">
        <v>2.1</v>
      </c>
      <c r="G270" s="59">
        <v>0</v>
      </c>
      <c r="H270" s="59" t="s">
        <v>318</v>
      </c>
      <c r="I270" s="59">
        <v>84</v>
      </c>
      <c r="J270" s="110">
        <f t="shared" si="6"/>
        <v>42</v>
      </c>
      <c r="K270" s="172">
        <v>84</v>
      </c>
      <c r="L270" s="148" t="s">
        <v>562</v>
      </c>
      <c r="M270" s="170"/>
    </row>
    <row r="271" spans="1:13">
      <c r="A271" s="2"/>
      <c r="B271" s="61" t="s">
        <v>323</v>
      </c>
      <c r="C271" s="59">
        <v>158</v>
      </c>
      <c r="D271" s="59">
        <v>15.05</v>
      </c>
      <c r="E271" s="59">
        <v>8.75</v>
      </c>
      <c r="F271" s="59">
        <v>4.6500000000000004</v>
      </c>
      <c r="G271" s="59">
        <v>0.9</v>
      </c>
      <c r="H271" s="59" t="s">
        <v>315</v>
      </c>
      <c r="I271" s="59">
        <v>56</v>
      </c>
      <c r="J271" s="110">
        <f t="shared" si="6"/>
        <v>14</v>
      </c>
      <c r="K271" s="172">
        <v>28</v>
      </c>
      <c r="L271" s="148" t="s">
        <v>537</v>
      </c>
      <c r="M271" s="170"/>
    </row>
    <row r="272" spans="1:13">
      <c r="A272" s="2"/>
      <c r="B272" s="61" t="s">
        <v>443</v>
      </c>
      <c r="C272" s="59">
        <v>259</v>
      </c>
      <c r="D272" s="59">
        <v>17.600000000000001</v>
      </c>
      <c r="E272" s="59">
        <v>19.399999999999999</v>
      </c>
      <c r="F272" s="59">
        <v>3.6</v>
      </c>
      <c r="G272" s="59">
        <v>0</v>
      </c>
      <c r="H272" s="59" t="s">
        <v>319</v>
      </c>
      <c r="I272" s="59">
        <v>55</v>
      </c>
      <c r="J272" s="109">
        <f t="shared" si="6"/>
        <v>5.5</v>
      </c>
      <c r="K272" s="172">
        <v>11</v>
      </c>
      <c r="L272" s="148" t="s">
        <v>207</v>
      </c>
      <c r="M272" s="170"/>
    </row>
    <row r="273" spans="1:13">
      <c r="A273" s="2"/>
      <c r="B273" s="61" t="s">
        <v>324</v>
      </c>
      <c r="C273" s="59">
        <v>158</v>
      </c>
      <c r="D273" s="59">
        <v>15.05</v>
      </c>
      <c r="E273" s="59">
        <v>8.75</v>
      </c>
      <c r="F273" s="59">
        <v>4.6500000000000004</v>
      </c>
      <c r="G273" s="59">
        <v>0.9</v>
      </c>
      <c r="H273" s="59" t="s">
        <v>114</v>
      </c>
      <c r="I273" s="59">
        <v>56</v>
      </c>
      <c r="J273" s="110">
        <f t="shared" si="6"/>
        <v>14</v>
      </c>
      <c r="K273" s="172">
        <v>28</v>
      </c>
      <c r="L273" s="148" t="s">
        <v>537</v>
      </c>
      <c r="M273" s="170"/>
    </row>
    <row r="274" spans="1:13">
      <c r="A274" s="2"/>
      <c r="B274" s="61" t="s">
        <v>442</v>
      </c>
      <c r="C274" s="59">
        <v>216</v>
      </c>
      <c r="D274" s="59">
        <v>13.6</v>
      </c>
      <c r="E274" s="59">
        <v>14.3</v>
      </c>
      <c r="F274" s="59">
        <v>8.1</v>
      </c>
      <c r="G274" s="59">
        <v>0</v>
      </c>
      <c r="H274" s="59" t="s">
        <v>126</v>
      </c>
      <c r="I274" s="59">
        <v>84</v>
      </c>
      <c r="J274" s="110">
        <f t="shared" si="6"/>
        <v>42</v>
      </c>
      <c r="K274" s="172">
        <v>84</v>
      </c>
      <c r="L274" s="142" t="s">
        <v>562</v>
      </c>
      <c r="M274" s="170"/>
    </row>
    <row r="275" spans="1:13">
      <c r="A275" s="2"/>
      <c r="B275" s="61" t="s">
        <v>134</v>
      </c>
      <c r="C275" s="59">
        <v>346</v>
      </c>
      <c r="D275" s="59">
        <v>14.25</v>
      </c>
      <c r="E275" s="59">
        <v>31.33</v>
      </c>
      <c r="F275" s="59">
        <v>0.65</v>
      </c>
      <c r="G275" s="59">
        <v>0</v>
      </c>
      <c r="H275" s="59" t="s">
        <v>126</v>
      </c>
      <c r="I275" s="59">
        <v>113</v>
      </c>
      <c r="J275" s="109">
        <f t="shared" si="6"/>
        <v>56.5</v>
      </c>
      <c r="K275" s="172">
        <v>113</v>
      </c>
      <c r="L275" s="142" t="s">
        <v>562</v>
      </c>
      <c r="M275" s="170"/>
    </row>
    <row r="276" spans="1:13">
      <c r="A276" s="2"/>
      <c r="B276" s="61" t="s">
        <v>17</v>
      </c>
      <c r="C276" s="59">
        <v>314</v>
      </c>
      <c r="D276" s="59">
        <v>11.98</v>
      </c>
      <c r="E276" s="59">
        <v>28.23</v>
      </c>
      <c r="F276" s="59">
        <v>2.1</v>
      </c>
      <c r="G276" s="59">
        <v>0</v>
      </c>
      <c r="H276" s="59" t="s">
        <v>126</v>
      </c>
      <c r="I276" s="59">
        <v>68</v>
      </c>
      <c r="J276" s="109">
        <f t="shared" si="6"/>
        <v>34</v>
      </c>
      <c r="K276" s="172">
        <v>68</v>
      </c>
      <c r="L276" s="142" t="s">
        <v>562</v>
      </c>
      <c r="M276" s="170"/>
    </row>
    <row r="277" spans="1:13">
      <c r="A277" s="2"/>
      <c r="B277" s="61" t="s">
        <v>1332</v>
      </c>
      <c r="C277" s="59">
        <v>268</v>
      </c>
      <c r="D277" s="59">
        <v>13.97</v>
      </c>
      <c r="E277" s="59">
        <v>21.43</v>
      </c>
      <c r="F277" s="59">
        <v>3.97</v>
      </c>
      <c r="G277" s="59">
        <v>0</v>
      </c>
      <c r="H277" s="59" t="s">
        <v>126</v>
      </c>
      <c r="I277" s="59">
        <v>68</v>
      </c>
      <c r="J277" s="109">
        <f t="shared" si="6"/>
        <v>34</v>
      </c>
      <c r="K277" s="172">
        <v>68</v>
      </c>
      <c r="L277" s="142" t="s">
        <v>562</v>
      </c>
      <c r="M277" s="170"/>
    </row>
    <row r="278" spans="1:13" ht="13.5" thickBot="1">
      <c r="A278" s="2"/>
      <c r="B278" s="63" t="s">
        <v>1328</v>
      </c>
      <c r="C278" s="64">
        <v>200</v>
      </c>
      <c r="D278" s="64">
        <v>17</v>
      </c>
      <c r="E278" s="64">
        <v>10.3</v>
      </c>
      <c r="F278" s="64">
        <v>10.77</v>
      </c>
      <c r="G278" s="64">
        <v>0.3</v>
      </c>
      <c r="H278" s="64" t="s">
        <v>126</v>
      </c>
      <c r="I278" s="64">
        <v>84</v>
      </c>
      <c r="J278" s="112">
        <f t="shared" si="6"/>
        <v>42</v>
      </c>
      <c r="K278" s="173">
        <v>84</v>
      </c>
      <c r="L278" s="144" t="s">
        <v>562</v>
      </c>
      <c r="M278" s="170"/>
    </row>
    <row r="279" spans="1:13" ht="14.25" thickTop="1" thickBot="1">
      <c r="M279" s="170"/>
    </row>
    <row r="280" spans="1:13" ht="18.75" thickTop="1">
      <c r="B280" s="66" t="s">
        <v>41</v>
      </c>
      <c r="C280" s="67" t="s">
        <v>1474</v>
      </c>
      <c r="D280" s="68" t="s">
        <v>99</v>
      </c>
      <c r="E280" s="67" t="s">
        <v>1475</v>
      </c>
      <c r="F280" s="67" t="s">
        <v>1476</v>
      </c>
      <c r="G280" s="67" t="s">
        <v>1477</v>
      </c>
      <c r="H280" s="68" t="s">
        <v>918</v>
      </c>
      <c r="I280" s="68" t="s">
        <v>919</v>
      </c>
      <c r="J280" s="67" t="s">
        <v>467</v>
      </c>
      <c r="K280" s="67" t="s">
        <v>203</v>
      </c>
      <c r="L280" s="69"/>
      <c r="M280" s="170"/>
    </row>
    <row r="281" spans="1:13">
      <c r="A281" s="2"/>
      <c r="B281" s="61" t="s">
        <v>444</v>
      </c>
      <c r="C281" s="59">
        <v>287</v>
      </c>
      <c r="D281" s="59">
        <v>12.7</v>
      </c>
      <c r="E281" s="59">
        <v>2.1</v>
      </c>
      <c r="F281" s="59">
        <v>78.2</v>
      </c>
      <c r="G281" s="59">
        <v>28.6</v>
      </c>
      <c r="H281" s="101" t="s">
        <v>151</v>
      </c>
      <c r="I281" s="101">
        <v>29</v>
      </c>
      <c r="J281" s="110">
        <f t="shared" ref="J281:J312" si="7">I281*VLOOKUP(H281,Fractional,2,FALSE)</f>
        <v>21.75</v>
      </c>
      <c r="K281" s="171">
        <v>87.087087087087085</v>
      </c>
      <c r="L281" s="148" t="s">
        <v>512</v>
      </c>
      <c r="M281" s="170"/>
    </row>
    <row r="282" spans="1:13">
      <c r="A282" s="2"/>
      <c r="B282" s="61" t="s">
        <v>445</v>
      </c>
      <c r="C282" s="59">
        <v>367</v>
      </c>
      <c r="D282" s="59">
        <v>11.33</v>
      </c>
      <c r="E282" s="59">
        <v>5.9</v>
      </c>
      <c r="F282" s="59">
        <v>74.680000000000007</v>
      </c>
      <c r="G282" s="59">
        <v>10.1</v>
      </c>
      <c r="H282" s="59" t="s">
        <v>149</v>
      </c>
      <c r="I282" s="59">
        <v>30</v>
      </c>
      <c r="J282" s="110">
        <f t="shared" si="7"/>
        <v>3.75</v>
      </c>
      <c r="K282" s="172">
        <v>30</v>
      </c>
      <c r="L282" s="148" t="s">
        <v>512</v>
      </c>
      <c r="M282" s="170"/>
    </row>
    <row r="283" spans="1:13">
      <c r="A283" s="2"/>
      <c r="B283" s="61" t="s">
        <v>446</v>
      </c>
      <c r="C283" s="59">
        <v>284</v>
      </c>
      <c r="D283" s="59">
        <v>26.1</v>
      </c>
      <c r="E283" s="59">
        <v>1.9</v>
      </c>
      <c r="F283" s="59">
        <v>58</v>
      </c>
      <c r="G283" s="59">
        <v>19.600000000000001</v>
      </c>
      <c r="H283" s="59" t="s">
        <v>149</v>
      </c>
      <c r="I283" s="59">
        <v>52</v>
      </c>
      <c r="J283" s="110">
        <f t="shared" si="7"/>
        <v>6.5</v>
      </c>
      <c r="K283" s="172">
        <v>52</v>
      </c>
      <c r="L283" s="148" t="s">
        <v>512</v>
      </c>
      <c r="M283" s="170"/>
    </row>
    <row r="284" spans="1:13">
      <c r="A284" s="2"/>
      <c r="B284" s="61" t="s">
        <v>447</v>
      </c>
      <c r="C284" s="59">
        <v>377</v>
      </c>
      <c r="D284" s="59">
        <v>17.5</v>
      </c>
      <c r="E284" s="59">
        <v>5.8</v>
      </c>
      <c r="F284" s="59">
        <v>67.900000000000006</v>
      </c>
      <c r="G284" s="59">
        <v>15.2</v>
      </c>
      <c r="H284" s="59" t="s">
        <v>149</v>
      </c>
      <c r="I284" s="59">
        <v>53</v>
      </c>
      <c r="J284" s="110">
        <f t="shared" si="7"/>
        <v>6.625</v>
      </c>
      <c r="K284" s="172">
        <v>53</v>
      </c>
      <c r="L284" s="148" t="s">
        <v>512</v>
      </c>
      <c r="M284" s="170"/>
    </row>
    <row r="285" spans="1:13">
      <c r="A285" s="2"/>
      <c r="B285" s="61" t="s">
        <v>448</v>
      </c>
      <c r="C285" s="59">
        <v>260</v>
      </c>
      <c r="D285" s="59">
        <v>13.14</v>
      </c>
      <c r="E285" s="59">
        <v>4.9000000000000004</v>
      </c>
      <c r="F285" s="59">
        <v>74.239999999999995</v>
      </c>
      <c r="G285" s="59">
        <v>29.3</v>
      </c>
      <c r="H285" s="59" t="s">
        <v>148</v>
      </c>
      <c r="I285" s="59">
        <v>31</v>
      </c>
      <c r="J285" s="110">
        <f t="shared" si="7"/>
        <v>7.75</v>
      </c>
      <c r="K285" s="172">
        <v>62</v>
      </c>
      <c r="L285" s="148" t="s">
        <v>512</v>
      </c>
      <c r="M285" s="170"/>
    </row>
    <row r="286" spans="1:13">
      <c r="A286" s="2"/>
      <c r="B286" s="61" t="s">
        <v>449</v>
      </c>
      <c r="C286" s="59">
        <v>379</v>
      </c>
      <c r="D286" s="59">
        <v>22.5</v>
      </c>
      <c r="E286" s="59">
        <v>1.55</v>
      </c>
      <c r="F286" s="59">
        <v>71</v>
      </c>
      <c r="G286" s="59">
        <v>2.4</v>
      </c>
      <c r="H286" s="59" t="s">
        <v>149</v>
      </c>
      <c r="I286" s="59">
        <v>31</v>
      </c>
      <c r="J286" s="110">
        <f t="shared" si="7"/>
        <v>3.875</v>
      </c>
      <c r="K286" s="172">
        <v>31</v>
      </c>
      <c r="L286" s="148" t="s">
        <v>512</v>
      </c>
      <c r="M286" s="170"/>
    </row>
    <row r="287" spans="1:13">
      <c r="A287" s="2"/>
      <c r="B287" s="61" t="s">
        <v>450</v>
      </c>
      <c r="C287" s="59">
        <v>287</v>
      </c>
      <c r="D287" s="59">
        <v>12.7</v>
      </c>
      <c r="E287" s="59">
        <v>2.1</v>
      </c>
      <c r="F287" s="59">
        <v>78.2</v>
      </c>
      <c r="G287" s="59">
        <v>28.6</v>
      </c>
      <c r="H287" s="59" t="s">
        <v>151</v>
      </c>
      <c r="I287" s="59">
        <v>29</v>
      </c>
      <c r="J287" s="110">
        <f t="shared" si="7"/>
        <v>21.75</v>
      </c>
      <c r="K287" s="172">
        <v>87.087087087087085</v>
      </c>
      <c r="L287" s="148" t="s">
        <v>512</v>
      </c>
      <c r="M287" s="170"/>
    </row>
    <row r="288" spans="1:13">
      <c r="A288" s="2"/>
      <c r="B288" s="61" t="s">
        <v>653</v>
      </c>
      <c r="C288" s="59">
        <v>333</v>
      </c>
      <c r="D288" s="59">
        <v>11.3</v>
      </c>
      <c r="E288" s="59">
        <v>2.58</v>
      </c>
      <c r="F288" s="59">
        <v>73.44</v>
      </c>
      <c r="G288" s="59">
        <v>12</v>
      </c>
      <c r="H288" s="59" t="s">
        <v>148</v>
      </c>
      <c r="I288" s="59">
        <v>40</v>
      </c>
      <c r="J288" s="110">
        <f t="shared" si="7"/>
        <v>10</v>
      </c>
      <c r="K288" s="172">
        <v>80</v>
      </c>
      <c r="L288" s="148" t="s">
        <v>512</v>
      </c>
      <c r="M288" s="170"/>
    </row>
    <row r="289" spans="1:13">
      <c r="A289" s="2"/>
      <c r="B289" s="61" t="s">
        <v>451</v>
      </c>
      <c r="C289" s="59">
        <v>375</v>
      </c>
      <c r="D289" s="59">
        <v>12.72</v>
      </c>
      <c r="E289" s="59">
        <v>6.25</v>
      </c>
      <c r="F289" s="59">
        <v>67.55</v>
      </c>
      <c r="G289" s="59">
        <v>10</v>
      </c>
      <c r="H289" s="59" t="s">
        <v>97</v>
      </c>
      <c r="I289" s="59">
        <v>28</v>
      </c>
      <c r="J289" s="110">
        <f t="shared" si="7"/>
        <v>14</v>
      </c>
      <c r="K289" s="172">
        <v>28</v>
      </c>
      <c r="L289" s="142" t="s">
        <v>565</v>
      </c>
      <c r="M289" s="170"/>
    </row>
    <row r="290" spans="1:13">
      <c r="A290" s="2"/>
      <c r="B290" s="61" t="s">
        <v>454</v>
      </c>
      <c r="C290" s="59">
        <v>400</v>
      </c>
      <c r="D290" s="59">
        <v>6.67</v>
      </c>
      <c r="E290" s="59">
        <v>5</v>
      </c>
      <c r="F290" s="59">
        <v>83.33</v>
      </c>
      <c r="G290" s="59">
        <v>4</v>
      </c>
      <c r="H290" s="59" t="s">
        <v>152</v>
      </c>
      <c r="I290" s="59">
        <v>30</v>
      </c>
      <c r="J290" s="110">
        <f t="shared" si="7"/>
        <v>9.9</v>
      </c>
      <c r="K290" s="172">
        <v>40</v>
      </c>
      <c r="L290" s="148" t="s">
        <v>512</v>
      </c>
      <c r="M290" s="170"/>
    </row>
    <row r="291" spans="1:13">
      <c r="A291" s="2"/>
      <c r="B291" s="61" t="s">
        <v>680</v>
      </c>
      <c r="C291" s="59">
        <v>390</v>
      </c>
      <c r="D291" s="59">
        <v>4.22</v>
      </c>
      <c r="E291" s="59">
        <v>1.35</v>
      </c>
      <c r="F291" s="59">
        <v>90.04</v>
      </c>
      <c r="G291" s="59">
        <v>1.6</v>
      </c>
      <c r="H291" s="59" t="s">
        <v>150</v>
      </c>
      <c r="I291" s="59">
        <v>33</v>
      </c>
      <c r="J291" s="110">
        <f t="shared" si="7"/>
        <v>4.125</v>
      </c>
      <c r="K291" s="172">
        <v>33</v>
      </c>
      <c r="L291" s="148" t="s">
        <v>512</v>
      </c>
      <c r="M291" s="170"/>
    </row>
    <row r="292" spans="1:13">
      <c r="A292" s="2"/>
      <c r="B292" s="61" t="s">
        <v>701</v>
      </c>
      <c r="C292" s="59">
        <v>422</v>
      </c>
      <c r="D292" s="59">
        <v>8.5</v>
      </c>
      <c r="E292" s="59">
        <v>10.3</v>
      </c>
      <c r="F292" s="59">
        <v>74</v>
      </c>
      <c r="G292" s="59">
        <v>6.8</v>
      </c>
      <c r="H292" s="59" t="s">
        <v>149</v>
      </c>
      <c r="I292" s="59">
        <v>59</v>
      </c>
      <c r="J292" s="110">
        <f t="shared" si="7"/>
        <v>7.375</v>
      </c>
      <c r="K292" s="172">
        <v>59</v>
      </c>
      <c r="L292" s="148" t="s">
        <v>512</v>
      </c>
      <c r="M292" s="170"/>
    </row>
    <row r="293" spans="1:13">
      <c r="A293" s="2"/>
      <c r="B293" s="61" t="s">
        <v>455</v>
      </c>
      <c r="C293" s="59">
        <v>382</v>
      </c>
      <c r="D293" s="59">
        <v>7.27</v>
      </c>
      <c r="E293" s="59">
        <v>5.45</v>
      </c>
      <c r="F293" s="59">
        <v>80</v>
      </c>
      <c r="G293" s="59">
        <v>5.8</v>
      </c>
      <c r="H293" s="59" t="s">
        <v>149</v>
      </c>
      <c r="I293" s="59">
        <v>55</v>
      </c>
      <c r="J293" s="110">
        <f t="shared" si="7"/>
        <v>6.875</v>
      </c>
      <c r="K293" s="172">
        <v>55</v>
      </c>
      <c r="L293" s="148" t="s">
        <v>512</v>
      </c>
      <c r="M293" s="170"/>
    </row>
    <row r="294" spans="1:13">
      <c r="A294" s="2"/>
      <c r="B294" s="61" t="s">
        <v>456</v>
      </c>
      <c r="C294" s="59">
        <v>400</v>
      </c>
      <c r="D294" s="59">
        <v>3.33</v>
      </c>
      <c r="E294" s="59">
        <v>5</v>
      </c>
      <c r="F294" s="59">
        <v>86.67</v>
      </c>
      <c r="G294" s="59">
        <v>3.3</v>
      </c>
      <c r="H294" s="59" t="s">
        <v>152</v>
      </c>
      <c r="I294" s="59">
        <v>30</v>
      </c>
      <c r="J294" s="110">
        <f t="shared" si="7"/>
        <v>9.9</v>
      </c>
      <c r="K294" s="172">
        <v>40</v>
      </c>
      <c r="L294" s="148" t="s">
        <v>512</v>
      </c>
      <c r="M294" s="170"/>
    </row>
    <row r="295" spans="1:13">
      <c r="A295" s="2"/>
      <c r="B295" s="61" t="s">
        <v>700</v>
      </c>
      <c r="C295" s="59">
        <v>383</v>
      </c>
      <c r="D295" s="59">
        <v>6.6</v>
      </c>
      <c r="E295" s="59">
        <v>4.5</v>
      </c>
      <c r="F295" s="59">
        <v>78.900000000000006</v>
      </c>
      <c r="G295" s="59">
        <v>3.8</v>
      </c>
      <c r="H295" s="59" t="s">
        <v>332</v>
      </c>
      <c r="I295" s="59">
        <v>55</v>
      </c>
      <c r="J295" s="110">
        <f t="shared" si="7"/>
        <v>11</v>
      </c>
      <c r="K295" s="172">
        <v>44</v>
      </c>
      <c r="L295" s="148" t="s">
        <v>512</v>
      </c>
      <c r="M295" s="170"/>
    </row>
    <row r="296" spans="1:13">
      <c r="A296" s="2"/>
      <c r="B296" s="61" t="s">
        <v>457</v>
      </c>
      <c r="C296" s="59">
        <v>400</v>
      </c>
      <c r="D296" s="59">
        <v>3.33</v>
      </c>
      <c r="E296" s="59">
        <v>3.33</v>
      </c>
      <c r="F296" s="59">
        <v>88.82</v>
      </c>
      <c r="G296" s="59">
        <v>0.9</v>
      </c>
      <c r="H296" s="59" t="s">
        <v>149</v>
      </c>
      <c r="I296" s="59">
        <v>30</v>
      </c>
      <c r="J296" s="110">
        <f t="shared" si="7"/>
        <v>3.75</v>
      </c>
      <c r="K296" s="172">
        <v>30</v>
      </c>
      <c r="L296" s="148" t="s">
        <v>512</v>
      </c>
      <c r="M296" s="170"/>
    </row>
    <row r="297" spans="1:13">
      <c r="A297" s="2"/>
      <c r="B297" s="61" t="s">
        <v>452</v>
      </c>
      <c r="C297" s="59">
        <v>320</v>
      </c>
      <c r="D297" s="59">
        <v>9.4</v>
      </c>
      <c r="E297" s="59">
        <v>2.2000000000000002</v>
      </c>
      <c r="F297" s="59">
        <v>80.400000000000006</v>
      </c>
      <c r="G297" s="59">
        <v>17.600000000000001</v>
      </c>
      <c r="H297" s="59" t="s">
        <v>152</v>
      </c>
      <c r="I297" s="59">
        <v>30</v>
      </c>
      <c r="J297" s="110">
        <f t="shared" si="7"/>
        <v>9.9</v>
      </c>
      <c r="K297" s="172">
        <v>40</v>
      </c>
      <c r="L297" s="148" t="s">
        <v>512</v>
      </c>
      <c r="M297" s="170"/>
    </row>
    <row r="298" spans="1:13">
      <c r="A298" s="2"/>
      <c r="B298" s="61" t="s">
        <v>452</v>
      </c>
      <c r="C298" s="59">
        <v>320</v>
      </c>
      <c r="D298" s="59">
        <v>9.4</v>
      </c>
      <c r="E298" s="59">
        <v>2.2000000000000002</v>
      </c>
      <c r="F298" s="59">
        <v>80.400000000000006</v>
      </c>
      <c r="G298" s="59">
        <v>17.600000000000001</v>
      </c>
      <c r="H298" s="59" t="s">
        <v>152</v>
      </c>
      <c r="I298" s="59">
        <v>30</v>
      </c>
      <c r="J298" s="110">
        <f t="shared" si="7"/>
        <v>9.9</v>
      </c>
      <c r="K298" s="172">
        <v>40</v>
      </c>
      <c r="L298" s="148" t="s">
        <v>512</v>
      </c>
      <c r="M298" s="170"/>
    </row>
    <row r="299" spans="1:13">
      <c r="A299" s="2"/>
      <c r="B299" s="61" t="s">
        <v>724</v>
      </c>
      <c r="C299" s="59">
        <v>402</v>
      </c>
      <c r="D299" s="59">
        <v>4.37</v>
      </c>
      <c r="E299" s="59">
        <v>5.89</v>
      </c>
      <c r="F299" s="59">
        <v>84.78</v>
      </c>
      <c r="G299" s="59">
        <v>2.5</v>
      </c>
      <c r="H299" s="59" t="s">
        <v>152</v>
      </c>
      <c r="I299" s="59">
        <v>27</v>
      </c>
      <c r="J299" s="110">
        <f t="shared" si="7"/>
        <v>8.91</v>
      </c>
      <c r="K299" s="172">
        <v>36</v>
      </c>
      <c r="L299" s="148" t="s">
        <v>512</v>
      </c>
      <c r="M299" s="170"/>
    </row>
    <row r="300" spans="1:13">
      <c r="A300" s="2"/>
      <c r="B300" s="61" t="s">
        <v>458</v>
      </c>
      <c r="C300" s="59">
        <v>433</v>
      </c>
      <c r="D300" s="59">
        <v>5.27</v>
      </c>
      <c r="E300" s="59">
        <v>9.3800000000000008</v>
      </c>
      <c r="F300" s="59">
        <v>79.73</v>
      </c>
      <c r="G300" s="59">
        <v>3.8</v>
      </c>
      <c r="H300" s="59" t="s">
        <v>152</v>
      </c>
      <c r="I300" s="59">
        <v>30</v>
      </c>
      <c r="J300" s="110">
        <f t="shared" si="7"/>
        <v>9.9</v>
      </c>
      <c r="K300" s="172">
        <v>40</v>
      </c>
      <c r="L300" s="148" t="s">
        <v>512</v>
      </c>
      <c r="M300" s="170"/>
    </row>
    <row r="301" spans="1:13">
      <c r="A301" s="2"/>
      <c r="B301" s="61" t="s">
        <v>681</v>
      </c>
      <c r="C301" s="59">
        <v>381</v>
      </c>
      <c r="D301" s="59">
        <v>5.22</v>
      </c>
      <c r="E301" s="59">
        <v>2.9</v>
      </c>
      <c r="F301" s="59">
        <v>86.05</v>
      </c>
      <c r="G301" s="59">
        <v>1.9</v>
      </c>
      <c r="H301" s="59" t="s">
        <v>152</v>
      </c>
      <c r="I301" s="59">
        <v>31</v>
      </c>
      <c r="J301" s="110">
        <f t="shared" si="7"/>
        <v>10.23</v>
      </c>
      <c r="K301" s="172">
        <v>41.333333333333336</v>
      </c>
      <c r="L301" s="148" t="s">
        <v>512</v>
      </c>
      <c r="M301" s="170"/>
    </row>
    <row r="302" spans="1:13">
      <c r="A302" s="2"/>
      <c r="B302" s="61" t="s">
        <v>703</v>
      </c>
      <c r="C302" s="59">
        <v>398</v>
      </c>
      <c r="D302" s="59">
        <v>3.5</v>
      </c>
      <c r="E302" s="59">
        <v>4.2</v>
      </c>
      <c r="F302" s="59">
        <v>87.9</v>
      </c>
      <c r="G302" s="59">
        <v>1.6</v>
      </c>
      <c r="H302" s="59" t="s">
        <v>152</v>
      </c>
      <c r="I302" s="59">
        <v>29</v>
      </c>
      <c r="J302" s="110">
        <f t="shared" si="7"/>
        <v>9.57</v>
      </c>
      <c r="K302" s="172">
        <v>38.666666666666664</v>
      </c>
      <c r="L302" s="148" t="s">
        <v>512</v>
      </c>
      <c r="M302" s="170"/>
    </row>
    <row r="303" spans="1:13">
      <c r="A303" s="2"/>
      <c r="B303" s="61" t="s">
        <v>459</v>
      </c>
      <c r="C303" s="59">
        <v>400</v>
      </c>
      <c r="D303" s="59">
        <v>3.33</v>
      </c>
      <c r="E303" s="59">
        <v>5</v>
      </c>
      <c r="F303" s="59">
        <v>86.67</v>
      </c>
      <c r="G303" s="59">
        <v>5</v>
      </c>
      <c r="H303" s="59" t="s">
        <v>149</v>
      </c>
      <c r="I303" s="59">
        <v>30</v>
      </c>
      <c r="J303" s="110">
        <f t="shared" si="7"/>
        <v>3.75</v>
      </c>
      <c r="K303" s="172">
        <v>30</v>
      </c>
      <c r="L303" s="148" t="s">
        <v>512</v>
      </c>
      <c r="M303" s="170"/>
    </row>
    <row r="304" spans="1:13">
      <c r="A304" s="2"/>
      <c r="B304" s="61" t="s">
        <v>682</v>
      </c>
      <c r="C304" s="59">
        <v>318</v>
      </c>
      <c r="D304" s="59">
        <v>10</v>
      </c>
      <c r="E304" s="59">
        <v>2</v>
      </c>
      <c r="F304" s="59">
        <v>79</v>
      </c>
      <c r="G304" s="59">
        <v>17.5</v>
      </c>
      <c r="H304" s="59" t="s">
        <v>152</v>
      </c>
      <c r="I304" s="59">
        <v>29</v>
      </c>
      <c r="J304" s="110">
        <f t="shared" si="7"/>
        <v>9.57</v>
      </c>
      <c r="K304" s="172">
        <v>38.666666666666664</v>
      </c>
      <c r="L304" s="148" t="s">
        <v>512</v>
      </c>
      <c r="M304" s="170"/>
    </row>
    <row r="305" spans="1:13">
      <c r="A305" s="2"/>
      <c r="B305" s="61" t="s">
        <v>460</v>
      </c>
      <c r="C305" s="59">
        <v>400</v>
      </c>
      <c r="D305" s="59">
        <v>3.33</v>
      </c>
      <c r="E305" s="59">
        <v>5</v>
      </c>
      <c r="F305" s="59">
        <v>86.67</v>
      </c>
      <c r="G305" s="59">
        <v>4</v>
      </c>
      <c r="H305" s="59" t="s">
        <v>101</v>
      </c>
      <c r="I305" s="59">
        <v>30</v>
      </c>
      <c r="J305" s="109">
        <f t="shared" si="7"/>
        <v>3.75</v>
      </c>
      <c r="K305" s="172">
        <v>30</v>
      </c>
      <c r="L305" s="148" t="s">
        <v>512</v>
      </c>
      <c r="M305" s="170"/>
    </row>
    <row r="306" spans="1:13">
      <c r="A306" s="2"/>
      <c r="B306" s="61" t="s">
        <v>461</v>
      </c>
      <c r="C306" s="59">
        <v>367</v>
      </c>
      <c r="D306" s="59">
        <v>6.67</v>
      </c>
      <c r="E306" s="59">
        <v>1.67</v>
      </c>
      <c r="F306" s="59">
        <v>85.06</v>
      </c>
      <c r="G306" s="59">
        <v>4</v>
      </c>
      <c r="H306" s="59" t="s">
        <v>149</v>
      </c>
      <c r="I306" s="59">
        <v>30</v>
      </c>
      <c r="J306" s="110">
        <f t="shared" si="7"/>
        <v>3.75</v>
      </c>
      <c r="K306" s="172">
        <v>30</v>
      </c>
      <c r="L306" s="148" t="s">
        <v>512</v>
      </c>
      <c r="M306" s="170"/>
    </row>
    <row r="307" spans="1:13">
      <c r="A307" s="2"/>
      <c r="B307" s="61" t="s">
        <v>683</v>
      </c>
      <c r="C307" s="59">
        <v>361</v>
      </c>
      <c r="D307" s="59">
        <v>6.61</v>
      </c>
      <c r="E307" s="59">
        <v>0.59</v>
      </c>
      <c r="F307" s="59">
        <v>87.11</v>
      </c>
      <c r="G307" s="59">
        <v>2.5</v>
      </c>
      <c r="H307" s="59" t="s">
        <v>149</v>
      </c>
      <c r="I307" s="59">
        <v>28</v>
      </c>
      <c r="J307" s="110">
        <f t="shared" si="7"/>
        <v>3.5</v>
      </c>
      <c r="K307" s="172">
        <v>28</v>
      </c>
      <c r="L307" s="148" t="s">
        <v>512</v>
      </c>
      <c r="M307" s="170"/>
    </row>
    <row r="308" spans="1:13">
      <c r="A308" s="2"/>
      <c r="B308" s="61" t="s">
        <v>453</v>
      </c>
      <c r="C308" s="59">
        <v>360</v>
      </c>
      <c r="D308" s="59">
        <v>6.7</v>
      </c>
      <c r="E308" s="59">
        <v>0.1</v>
      </c>
      <c r="F308" s="59">
        <v>86.7</v>
      </c>
      <c r="G308" s="59">
        <v>4.5</v>
      </c>
      <c r="H308" s="59" t="s">
        <v>149</v>
      </c>
      <c r="I308" s="59">
        <v>28</v>
      </c>
      <c r="J308" s="109">
        <f t="shared" si="7"/>
        <v>3.5</v>
      </c>
      <c r="K308" s="172">
        <v>28</v>
      </c>
      <c r="L308" s="148" t="s">
        <v>512</v>
      </c>
      <c r="M308" s="170"/>
    </row>
    <row r="309" spans="1:13">
      <c r="A309" s="2"/>
      <c r="B309" s="61" t="s">
        <v>740</v>
      </c>
      <c r="C309" s="59">
        <v>342</v>
      </c>
      <c r="D309" s="59">
        <v>8.43</v>
      </c>
      <c r="E309" s="59">
        <v>0.97</v>
      </c>
      <c r="F309" s="59">
        <v>78.819999999999993</v>
      </c>
      <c r="G309" s="59">
        <v>4.8</v>
      </c>
      <c r="H309" s="59" t="s">
        <v>97</v>
      </c>
      <c r="I309" s="59">
        <v>28</v>
      </c>
      <c r="J309" s="110">
        <f t="shared" si="7"/>
        <v>14</v>
      </c>
      <c r="K309" s="172">
        <v>28</v>
      </c>
      <c r="L309" s="142" t="s">
        <v>565</v>
      </c>
      <c r="M309" s="170"/>
    </row>
    <row r="310" spans="1:13">
      <c r="A310" s="2"/>
      <c r="B310" s="61" t="s">
        <v>684</v>
      </c>
      <c r="C310" s="59">
        <v>378</v>
      </c>
      <c r="D310" s="59">
        <v>3.7</v>
      </c>
      <c r="E310" s="59">
        <v>0.75</v>
      </c>
      <c r="F310" s="59">
        <v>90</v>
      </c>
      <c r="G310" s="59">
        <v>0.8</v>
      </c>
      <c r="H310" s="59" t="s">
        <v>149</v>
      </c>
      <c r="I310" s="59">
        <v>31</v>
      </c>
      <c r="J310" s="110">
        <f t="shared" si="7"/>
        <v>3.875</v>
      </c>
      <c r="K310" s="172">
        <v>31</v>
      </c>
      <c r="L310" s="148" t="s">
        <v>512</v>
      </c>
      <c r="M310" s="170"/>
    </row>
    <row r="311" spans="1:13">
      <c r="A311" s="2"/>
      <c r="B311" s="61" t="s">
        <v>462</v>
      </c>
      <c r="C311" s="59">
        <v>400</v>
      </c>
      <c r="D311" s="59">
        <v>3.33</v>
      </c>
      <c r="E311" s="59">
        <v>3.3</v>
      </c>
      <c r="F311" s="59">
        <v>88.37</v>
      </c>
      <c r="G311" s="59">
        <v>4</v>
      </c>
      <c r="H311" s="59" t="s">
        <v>149</v>
      </c>
      <c r="I311" s="59">
        <v>30</v>
      </c>
      <c r="J311" s="110">
        <f t="shared" si="7"/>
        <v>3.75</v>
      </c>
      <c r="K311" s="172">
        <v>30</v>
      </c>
      <c r="L311" s="148" t="s">
        <v>512</v>
      </c>
      <c r="M311" s="170"/>
    </row>
    <row r="312" spans="1:13">
      <c r="A312" s="2"/>
      <c r="B312" s="61" t="s">
        <v>463</v>
      </c>
      <c r="C312" s="59">
        <v>367</v>
      </c>
      <c r="D312" s="59">
        <v>6.67</v>
      </c>
      <c r="E312" s="59">
        <v>1.67</v>
      </c>
      <c r="F312" s="59">
        <v>84.09</v>
      </c>
      <c r="G312" s="59">
        <v>4</v>
      </c>
      <c r="H312" s="59" t="s">
        <v>149</v>
      </c>
      <c r="I312" s="59">
        <v>30</v>
      </c>
      <c r="J312" s="110">
        <f t="shared" si="7"/>
        <v>3.75</v>
      </c>
      <c r="K312" s="172">
        <v>30</v>
      </c>
      <c r="L312" s="148" t="s">
        <v>512</v>
      </c>
      <c r="M312" s="170"/>
    </row>
    <row r="313" spans="1:13">
      <c r="A313" s="2"/>
      <c r="B313" s="61" t="s">
        <v>685</v>
      </c>
      <c r="C313" s="59">
        <v>402</v>
      </c>
      <c r="D313" s="59">
        <v>8</v>
      </c>
      <c r="E313" s="59">
        <v>13.9</v>
      </c>
      <c r="F313" s="59">
        <v>71.400000000000006</v>
      </c>
      <c r="G313" s="59">
        <v>12.7</v>
      </c>
      <c r="H313" s="59" t="s">
        <v>152</v>
      </c>
      <c r="I313" s="59">
        <v>49</v>
      </c>
      <c r="J313" s="110">
        <f t="shared" ref="J313:J344" si="8">I313*VLOOKUP(H313,Fractional,2,FALSE)</f>
        <v>16.170000000000002</v>
      </c>
      <c r="K313" s="172">
        <v>65.333333333333329</v>
      </c>
      <c r="L313" s="148" t="s">
        <v>512</v>
      </c>
      <c r="M313" s="170"/>
    </row>
    <row r="314" spans="1:13">
      <c r="A314" s="2"/>
      <c r="B314" s="61" t="s">
        <v>677</v>
      </c>
      <c r="C314" s="59">
        <v>373</v>
      </c>
      <c r="D314" s="59">
        <v>6</v>
      </c>
      <c r="E314" s="59">
        <v>2.2000000000000002</v>
      </c>
      <c r="F314" s="59">
        <v>86</v>
      </c>
      <c r="G314" s="59">
        <v>4.7</v>
      </c>
      <c r="H314" s="59" t="s">
        <v>332</v>
      </c>
      <c r="I314" s="59">
        <v>55</v>
      </c>
      <c r="J314" s="110">
        <f t="shared" si="8"/>
        <v>11</v>
      </c>
      <c r="K314" s="172">
        <v>44</v>
      </c>
      <c r="L314" s="148" t="s">
        <v>512</v>
      </c>
      <c r="M314" s="170"/>
    </row>
    <row r="315" spans="1:13">
      <c r="A315" s="2"/>
      <c r="B315" s="61" t="s">
        <v>733</v>
      </c>
      <c r="C315" s="59">
        <v>370</v>
      </c>
      <c r="D315" s="59">
        <v>10.5</v>
      </c>
      <c r="E315" s="59">
        <v>1.5</v>
      </c>
      <c r="F315" s="59">
        <v>76.5</v>
      </c>
      <c r="G315" s="59">
        <v>3.8</v>
      </c>
      <c r="H315" s="59" t="s">
        <v>101</v>
      </c>
      <c r="I315" s="59">
        <v>173</v>
      </c>
      <c r="J315" s="109">
        <f t="shared" si="8"/>
        <v>21.625</v>
      </c>
      <c r="K315" s="172">
        <v>173</v>
      </c>
      <c r="L315" s="148" t="s">
        <v>512</v>
      </c>
      <c r="M315" s="170"/>
    </row>
    <row r="316" spans="1:13">
      <c r="A316" s="2"/>
      <c r="B316" s="61" t="s">
        <v>686</v>
      </c>
      <c r="C316" s="59">
        <v>377</v>
      </c>
      <c r="D316" s="59">
        <v>6.25</v>
      </c>
      <c r="E316" s="59">
        <v>1.28</v>
      </c>
      <c r="F316" s="59">
        <v>86.95</v>
      </c>
      <c r="G316" s="59">
        <v>1.2</v>
      </c>
      <c r="H316" s="59" t="s">
        <v>149</v>
      </c>
      <c r="I316" s="59">
        <v>29</v>
      </c>
      <c r="J316" s="109">
        <f t="shared" si="8"/>
        <v>3.625</v>
      </c>
      <c r="K316" s="172">
        <v>29</v>
      </c>
      <c r="L316" s="148" t="s">
        <v>512</v>
      </c>
      <c r="M316" s="170"/>
    </row>
    <row r="317" spans="1:13">
      <c r="A317" s="2"/>
      <c r="B317" s="61" t="s">
        <v>728</v>
      </c>
      <c r="C317" s="59">
        <v>364</v>
      </c>
      <c r="D317" s="59">
        <v>6.69</v>
      </c>
      <c r="E317" s="59">
        <v>1.26</v>
      </c>
      <c r="F317" s="59">
        <v>86.22</v>
      </c>
      <c r="G317" s="59">
        <v>0.7</v>
      </c>
      <c r="H317" s="59" t="s">
        <v>153</v>
      </c>
      <c r="I317" s="59">
        <v>33</v>
      </c>
      <c r="J317" s="109">
        <f t="shared" si="8"/>
        <v>6.6000000000000005</v>
      </c>
      <c r="K317" s="172">
        <v>26.4</v>
      </c>
      <c r="L317" s="148" t="s">
        <v>512</v>
      </c>
      <c r="M317" s="170"/>
    </row>
    <row r="318" spans="1:13">
      <c r="A318" s="2"/>
      <c r="B318" s="61" t="s">
        <v>720</v>
      </c>
      <c r="C318" s="59">
        <v>333</v>
      </c>
      <c r="D318" s="59">
        <v>6.4</v>
      </c>
      <c r="E318" s="59">
        <v>4.07</v>
      </c>
      <c r="F318" s="59">
        <v>84.11</v>
      </c>
      <c r="G318" s="59">
        <v>17.3</v>
      </c>
      <c r="H318" s="59" t="s">
        <v>152</v>
      </c>
      <c r="I318" s="59">
        <v>27</v>
      </c>
      <c r="J318" s="110">
        <f t="shared" si="8"/>
        <v>8.91</v>
      </c>
      <c r="K318" s="172">
        <v>36</v>
      </c>
      <c r="L318" s="148" t="s">
        <v>512</v>
      </c>
      <c r="M318" s="170"/>
    </row>
    <row r="319" spans="1:13">
      <c r="A319" s="2"/>
      <c r="B319" s="61" t="s">
        <v>734</v>
      </c>
      <c r="C319" s="59">
        <v>369</v>
      </c>
      <c r="D319" s="59">
        <v>10.6</v>
      </c>
      <c r="E319" s="59">
        <v>0.5</v>
      </c>
      <c r="F319" s="59">
        <v>78</v>
      </c>
      <c r="G319" s="59">
        <v>1.9</v>
      </c>
      <c r="H319" s="59" t="s">
        <v>101</v>
      </c>
      <c r="I319" s="59">
        <v>176</v>
      </c>
      <c r="J319" s="109">
        <f t="shared" si="8"/>
        <v>22</v>
      </c>
      <c r="K319" s="172">
        <v>176</v>
      </c>
      <c r="L319" s="148" t="s">
        <v>512</v>
      </c>
      <c r="M319" s="170"/>
    </row>
    <row r="320" spans="1:13">
      <c r="A320" s="2"/>
      <c r="B320" s="61" t="s">
        <v>464</v>
      </c>
      <c r="C320" s="59">
        <v>400</v>
      </c>
      <c r="D320" s="59">
        <v>3.33</v>
      </c>
      <c r="E320" s="59">
        <v>3.33</v>
      </c>
      <c r="F320" s="59">
        <v>88.88</v>
      </c>
      <c r="G320" s="59">
        <v>0.9</v>
      </c>
      <c r="H320" s="59" t="s">
        <v>149</v>
      </c>
      <c r="I320" s="59">
        <v>30</v>
      </c>
      <c r="J320" s="110">
        <f t="shared" si="8"/>
        <v>3.75</v>
      </c>
      <c r="K320" s="172">
        <v>30</v>
      </c>
      <c r="L320" s="148" t="s">
        <v>512</v>
      </c>
      <c r="M320" s="170"/>
    </row>
    <row r="321" spans="1:13">
      <c r="A321" s="2"/>
      <c r="B321" s="61" t="s">
        <v>465</v>
      </c>
      <c r="C321" s="59">
        <v>438</v>
      </c>
      <c r="D321" s="59">
        <v>6.25</v>
      </c>
      <c r="E321" s="59">
        <v>10.94</v>
      </c>
      <c r="F321" s="59">
        <v>77.55</v>
      </c>
      <c r="G321" s="59">
        <v>3.1</v>
      </c>
      <c r="H321" s="59" t="s">
        <v>152</v>
      </c>
      <c r="I321" s="59">
        <v>32</v>
      </c>
      <c r="J321" s="110">
        <f t="shared" si="8"/>
        <v>10.56</v>
      </c>
      <c r="K321" s="172">
        <v>42.666666666666664</v>
      </c>
      <c r="L321" s="148" t="s">
        <v>512</v>
      </c>
      <c r="M321" s="170"/>
    </row>
    <row r="322" spans="1:13">
      <c r="A322" s="2"/>
      <c r="B322" s="61" t="s">
        <v>687</v>
      </c>
      <c r="C322" s="59">
        <v>393</v>
      </c>
      <c r="D322" s="59">
        <v>4.6399999999999997</v>
      </c>
      <c r="E322" s="59">
        <v>2.0099999999999998</v>
      </c>
      <c r="F322" s="59">
        <v>88.94</v>
      </c>
      <c r="G322" s="59">
        <v>2</v>
      </c>
      <c r="H322" s="59" t="s">
        <v>149</v>
      </c>
      <c r="I322" s="59">
        <v>30</v>
      </c>
      <c r="J322" s="110">
        <f t="shared" si="8"/>
        <v>3.75</v>
      </c>
      <c r="K322" s="172">
        <v>30</v>
      </c>
      <c r="L322" s="148" t="s">
        <v>512</v>
      </c>
      <c r="M322" s="170"/>
    </row>
    <row r="323" spans="1:13">
      <c r="A323" s="2"/>
      <c r="B323" s="61" t="s">
        <v>652</v>
      </c>
      <c r="C323" s="59">
        <v>393</v>
      </c>
      <c r="D323" s="59">
        <v>7.14</v>
      </c>
      <c r="E323" s="59">
        <v>3.57</v>
      </c>
      <c r="F323" s="59">
        <v>83.25</v>
      </c>
      <c r="G323" s="59">
        <v>4.3</v>
      </c>
      <c r="H323" s="59" t="s">
        <v>152</v>
      </c>
      <c r="I323" s="59">
        <v>28</v>
      </c>
      <c r="J323" s="110">
        <f t="shared" si="8"/>
        <v>9.24</v>
      </c>
      <c r="K323" s="172">
        <v>37.333333333333336</v>
      </c>
      <c r="L323" s="148" t="s">
        <v>512</v>
      </c>
      <c r="M323" s="170"/>
    </row>
    <row r="324" spans="1:13">
      <c r="A324" s="2"/>
      <c r="B324" s="61" t="s">
        <v>688</v>
      </c>
      <c r="C324" s="59">
        <v>367</v>
      </c>
      <c r="D324" s="59">
        <v>4.34</v>
      </c>
      <c r="E324" s="59">
        <v>0.26</v>
      </c>
      <c r="F324" s="59">
        <v>90.86</v>
      </c>
      <c r="G324" s="59">
        <v>1.8</v>
      </c>
      <c r="H324" s="59" t="s">
        <v>333</v>
      </c>
      <c r="I324" s="59">
        <v>30</v>
      </c>
      <c r="J324" s="109">
        <f t="shared" si="8"/>
        <v>9.9</v>
      </c>
      <c r="K324" s="172">
        <v>40</v>
      </c>
      <c r="L324" s="148" t="s">
        <v>512</v>
      </c>
      <c r="M324" s="170"/>
    </row>
    <row r="325" spans="1:13">
      <c r="A325" s="2"/>
      <c r="B325" s="61" t="s">
        <v>702</v>
      </c>
      <c r="C325" s="59">
        <v>405</v>
      </c>
      <c r="D325" s="59">
        <v>8.5</v>
      </c>
      <c r="E325" s="59">
        <v>4.0999999999999996</v>
      </c>
      <c r="F325" s="59">
        <v>83.5</v>
      </c>
      <c r="G325" s="59">
        <v>4.0999999999999996</v>
      </c>
      <c r="H325" s="59" t="s">
        <v>149</v>
      </c>
      <c r="I325" s="59">
        <v>32</v>
      </c>
      <c r="J325" s="110">
        <f t="shared" si="8"/>
        <v>4</v>
      </c>
      <c r="K325" s="172">
        <v>32</v>
      </c>
      <c r="L325" s="148" t="s">
        <v>512</v>
      </c>
      <c r="M325" s="170"/>
    </row>
    <row r="326" spans="1:13">
      <c r="A326" s="2"/>
      <c r="B326" s="61" t="s">
        <v>689</v>
      </c>
      <c r="C326" s="59">
        <v>343</v>
      </c>
      <c r="D326" s="59">
        <v>9.8000000000000007</v>
      </c>
      <c r="E326" s="59">
        <v>1.6</v>
      </c>
      <c r="F326" s="59">
        <v>80.400000000000006</v>
      </c>
      <c r="G326" s="59">
        <v>10</v>
      </c>
      <c r="H326" s="59" t="s">
        <v>101</v>
      </c>
      <c r="I326" s="59">
        <v>51</v>
      </c>
      <c r="J326" s="110">
        <f t="shared" si="8"/>
        <v>6.375</v>
      </c>
      <c r="K326" s="172">
        <v>51</v>
      </c>
      <c r="L326" s="148" t="s">
        <v>512</v>
      </c>
      <c r="M326" s="170"/>
    </row>
    <row r="327" spans="1:13">
      <c r="A327" s="2"/>
      <c r="B327" s="61" t="s">
        <v>690</v>
      </c>
      <c r="C327" s="59">
        <v>384</v>
      </c>
      <c r="D327" s="59">
        <v>5</v>
      </c>
      <c r="E327" s="59">
        <v>0.9</v>
      </c>
      <c r="F327" s="59">
        <v>89</v>
      </c>
      <c r="G327" s="59">
        <v>0.3</v>
      </c>
      <c r="H327" s="59" t="s">
        <v>152</v>
      </c>
      <c r="I327" s="59">
        <v>30</v>
      </c>
      <c r="J327" s="110">
        <f t="shared" si="8"/>
        <v>9.9</v>
      </c>
      <c r="K327" s="172">
        <v>40</v>
      </c>
      <c r="L327" s="148" t="s">
        <v>512</v>
      </c>
      <c r="M327" s="170"/>
    </row>
    <row r="328" spans="1:13">
      <c r="A328" s="2"/>
      <c r="B328" s="61" t="s">
        <v>704</v>
      </c>
      <c r="C328" s="59">
        <v>352</v>
      </c>
      <c r="D328" s="59">
        <v>7.8</v>
      </c>
      <c r="E328" s="59">
        <v>1.9</v>
      </c>
      <c r="F328" s="59">
        <v>83.8</v>
      </c>
      <c r="G328" s="59">
        <v>9.6</v>
      </c>
      <c r="H328" s="59" t="s">
        <v>149</v>
      </c>
      <c r="I328" s="59">
        <v>52</v>
      </c>
      <c r="J328" s="110">
        <f t="shared" si="8"/>
        <v>6.5</v>
      </c>
      <c r="K328" s="172">
        <v>52</v>
      </c>
      <c r="L328" s="148" t="s">
        <v>512</v>
      </c>
      <c r="M328" s="170"/>
    </row>
    <row r="329" spans="1:13">
      <c r="A329" s="2"/>
      <c r="B329" s="61" t="s">
        <v>698</v>
      </c>
      <c r="C329" s="59">
        <v>396</v>
      </c>
      <c r="D329" s="59">
        <v>5.4</v>
      </c>
      <c r="E329" s="59">
        <v>5.9</v>
      </c>
      <c r="F329" s="59">
        <v>85</v>
      </c>
      <c r="G329" s="59">
        <v>5.5</v>
      </c>
      <c r="H329" s="59" t="s">
        <v>152</v>
      </c>
      <c r="I329" s="59">
        <v>30</v>
      </c>
      <c r="J329" s="110">
        <f t="shared" si="8"/>
        <v>9.9</v>
      </c>
      <c r="K329" s="172">
        <v>40</v>
      </c>
      <c r="L329" s="148" t="s">
        <v>512</v>
      </c>
      <c r="M329" s="170"/>
    </row>
    <row r="330" spans="1:13">
      <c r="A330" s="2"/>
      <c r="B330" s="61" t="s">
        <v>705</v>
      </c>
      <c r="C330" s="59">
        <v>385</v>
      </c>
      <c r="D330" s="59">
        <v>7.1</v>
      </c>
      <c r="E330" s="59">
        <v>5.6</v>
      </c>
      <c r="F330" s="59">
        <v>76.2</v>
      </c>
      <c r="G330" s="59">
        <v>9.6999999999999993</v>
      </c>
      <c r="H330" s="59" t="s">
        <v>149</v>
      </c>
      <c r="I330" s="59">
        <v>55</v>
      </c>
      <c r="J330" s="110">
        <f t="shared" si="8"/>
        <v>6.875</v>
      </c>
      <c r="K330" s="172">
        <v>55</v>
      </c>
      <c r="L330" s="148" t="s">
        <v>512</v>
      </c>
      <c r="M330" s="170"/>
    </row>
    <row r="331" spans="1:13">
      <c r="A331" s="2"/>
      <c r="B331" s="61" t="s">
        <v>706</v>
      </c>
      <c r="C331" s="59">
        <v>401</v>
      </c>
      <c r="D331" s="59">
        <v>3.6</v>
      </c>
      <c r="E331" s="59">
        <v>3.9</v>
      </c>
      <c r="F331" s="59">
        <v>87.9</v>
      </c>
      <c r="G331" s="59">
        <v>0.7</v>
      </c>
      <c r="H331" s="59" t="s">
        <v>152</v>
      </c>
      <c r="I331" s="59">
        <v>27</v>
      </c>
      <c r="J331" s="110">
        <f t="shared" si="8"/>
        <v>8.91</v>
      </c>
      <c r="K331" s="172">
        <v>36</v>
      </c>
      <c r="L331" s="148" t="s">
        <v>512</v>
      </c>
      <c r="M331" s="170"/>
    </row>
    <row r="332" spans="1:13">
      <c r="A332" s="2"/>
      <c r="B332" s="61" t="s">
        <v>707</v>
      </c>
      <c r="C332" s="59">
        <v>398</v>
      </c>
      <c r="D332" s="59">
        <v>5.5</v>
      </c>
      <c r="E332" s="59">
        <v>1.4</v>
      </c>
      <c r="F332" s="59">
        <v>90.9</v>
      </c>
      <c r="G332" s="59">
        <v>0</v>
      </c>
      <c r="H332" s="59" t="s">
        <v>152</v>
      </c>
      <c r="I332" s="59">
        <v>27</v>
      </c>
      <c r="J332" s="110">
        <f t="shared" si="8"/>
        <v>8.91</v>
      </c>
      <c r="K332" s="172">
        <v>36</v>
      </c>
      <c r="L332" s="148" t="s">
        <v>512</v>
      </c>
      <c r="M332" s="170"/>
    </row>
    <row r="333" spans="1:13">
      <c r="A333" s="2"/>
      <c r="B333" s="61" t="s">
        <v>654</v>
      </c>
      <c r="C333" s="59">
        <v>400</v>
      </c>
      <c r="D333" s="59">
        <v>3.33</v>
      </c>
      <c r="E333" s="59">
        <v>3.33</v>
      </c>
      <c r="F333" s="59">
        <v>86.53</v>
      </c>
      <c r="G333" s="59">
        <v>3.3</v>
      </c>
      <c r="H333" s="59" t="s">
        <v>152</v>
      </c>
      <c r="I333" s="59">
        <v>30</v>
      </c>
      <c r="J333" s="110">
        <f t="shared" si="8"/>
        <v>9.9</v>
      </c>
      <c r="K333" s="172">
        <v>40</v>
      </c>
      <c r="L333" s="148" t="s">
        <v>512</v>
      </c>
      <c r="M333" s="170"/>
    </row>
    <row r="334" spans="1:13">
      <c r="A334" s="2"/>
      <c r="B334" s="61" t="s">
        <v>723</v>
      </c>
      <c r="C334" s="59">
        <v>429</v>
      </c>
      <c r="D334" s="59">
        <v>10.38</v>
      </c>
      <c r="E334" s="59">
        <v>12.86</v>
      </c>
      <c r="F334" s="59">
        <v>72.64</v>
      </c>
      <c r="G334" s="59">
        <v>6.9</v>
      </c>
      <c r="H334" s="59" t="s">
        <v>148</v>
      </c>
      <c r="I334" s="59">
        <v>48</v>
      </c>
      <c r="J334" s="110">
        <f t="shared" si="8"/>
        <v>12</v>
      </c>
      <c r="K334" s="172">
        <v>96</v>
      </c>
      <c r="L334" s="148" t="s">
        <v>512</v>
      </c>
      <c r="M334" s="170"/>
    </row>
    <row r="335" spans="1:13">
      <c r="A335" s="2"/>
      <c r="B335" s="61" t="s">
        <v>1336</v>
      </c>
      <c r="C335" s="59">
        <v>489</v>
      </c>
      <c r="D335" s="59">
        <v>14.85</v>
      </c>
      <c r="E335" s="59">
        <v>24.06</v>
      </c>
      <c r="F335" s="59">
        <v>53.25</v>
      </c>
      <c r="G335" s="59">
        <v>9</v>
      </c>
      <c r="H335" s="59" t="s">
        <v>101</v>
      </c>
      <c r="I335" s="59">
        <v>122</v>
      </c>
      <c r="J335" s="109">
        <f t="shared" si="8"/>
        <v>15.25</v>
      </c>
      <c r="K335" s="172">
        <v>122</v>
      </c>
      <c r="L335" s="148" t="s">
        <v>512</v>
      </c>
      <c r="M335" s="170"/>
    </row>
    <row r="336" spans="1:13">
      <c r="A336" s="2"/>
      <c r="B336" s="61" t="s">
        <v>708</v>
      </c>
      <c r="C336" s="59">
        <v>359</v>
      </c>
      <c r="D336" s="59">
        <v>12.48</v>
      </c>
      <c r="E336" s="59">
        <v>1.85</v>
      </c>
      <c r="F336" s="59">
        <v>80.099999999999994</v>
      </c>
      <c r="G336" s="59">
        <v>8.8000000000000007</v>
      </c>
      <c r="H336" s="59" t="s">
        <v>148</v>
      </c>
      <c r="I336" s="59">
        <v>58</v>
      </c>
      <c r="J336" s="109">
        <f t="shared" si="8"/>
        <v>14.5</v>
      </c>
      <c r="K336" s="172">
        <v>116</v>
      </c>
      <c r="L336" s="148" t="s">
        <v>512</v>
      </c>
      <c r="M336" s="170"/>
    </row>
    <row r="337" spans="1:13">
      <c r="A337" s="2"/>
      <c r="B337" s="61" t="s">
        <v>709</v>
      </c>
      <c r="C337" s="59">
        <v>365</v>
      </c>
      <c r="D337" s="59">
        <v>10</v>
      </c>
      <c r="E337" s="59">
        <v>2.9</v>
      </c>
      <c r="F337" s="59">
        <v>81.5</v>
      </c>
      <c r="G337" s="59">
        <v>8.8000000000000007</v>
      </c>
      <c r="H337" s="59" t="s">
        <v>152</v>
      </c>
      <c r="I337" s="59">
        <v>29</v>
      </c>
      <c r="J337" s="110">
        <f t="shared" si="8"/>
        <v>9.57</v>
      </c>
      <c r="K337" s="172">
        <v>38.666666666666664</v>
      </c>
      <c r="L337" s="148" t="s">
        <v>512</v>
      </c>
      <c r="M337" s="170"/>
    </row>
    <row r="338" spans="1:13">
      <c r="A338" s="2"/>
      <c r="B338" s="61" t="s">
        <v>710</v>
      </c>
      <c r="C338" s="59">
        <v>408</v>
      </c>
      <c r="D338" s="59">
        <v>9.3000000000000007</v>
      </c>
      <c r="E338" s="59">
        <v>11.8</v>
      </c>
      <c r="F338" s="59">
        <v>71.400000000000006</v>
      </c>
      <c r="G338" s="59">
        <v>7</v>
      </c>
      <c r="H338" s="59" t="s">
        <v>70</v>
      </c>
      <c r="I338" s="59">
        <v>53</v>
      </c>
      <c r="J338" s="110">
        <f t="shared" si="8"/>
        <v>19.875</v>
      </c>
      <c r="K338" s="172">
        <v>79.46026986506746</v>
      </c>
      <c r="L338" s="148" t="s">
        <v>512</v>
      </c>
      <c r="M338" s="170"/>
    </row>
    <row r="339" spans="1:13">
      <c r="A339" s="2"/>
      <c r="B339" s="61" t="s">
        <v>711</v>
      </c>
      <c r="C339" s="59">
        <v>407</v>
      </c>
      <c r="D339" s="59">
        <v>7.8</v>
      </c>
      <c r="E339" s="59">
        <v>8.5</v>
      </c>
      <c r="F339" s="59">
        <v>78</v>
      </c>
      <c r="G339" s="59">
        <v>4.5</v>
      </c>
      <c r="H339" s="59" t="s">
        <v>152</v>
      </c>
      <c r="I339" s="59">
        <v>31</v>
      </c>
      <c r="J339" s="110">
        <f t="shared" si="8"/>
        <v>10.23</v>
      </c>
      <c r="K339" s="172">
        <v>41.333333333333336</v>
      </c>
      <c r="L339" s="148" t="s">
        <v>512</v>
      </c>
      <c r="M339" s="170"/>
    </row>
    <row r="340" spans="1:13">
      <c r="A340" s="2"/>
      <c r="B340" s="61" t="s">
        <v>726</v>
      </c>
      <c r="C340" s="59">
        <v>372</v>
      </c>
      <c r="D340" s="59">
        <v>26.55</v>
      </c>
      <c r="E340" s="59">
        <v>7.78</v>
      </c>
      <c r="F340" s="59">
        <v>58.11</v>
      </c>
      <c r="G340" s="59">
        <v>10.199999999999999</v>
      </c>
      <c r="H340" s="59" t="s">
        <v>335</v>
      </c>
      <c r="I340" s="59">
        <v>14</v>
      </c>
      <c r="J340" s="110">
        <f t="shared" si="8"/>
        <v>8.4</v>
      </c>
      <c r="K340" s="172">
        <v>8.398320335932814</v>
      </c>
      <c r="L340" s="148" t="s">
        <v>536</v>
      </c>
      <c r="M340" s="170"/>
    </row>
    <row r="341" spans="1:13">
      <c r="A341" s="2"/>
      <c r="B341" s="61" t="s">
        <v>655</v>
      </c>
      <c r="C341" s="59">
        <v>393</v>
      </c>
      <c r="D341" s="59">
        <v>10.71</v>
      </c>
      <c r="E341" s="59">
        <v>5.36</v>
      </c>
      <c r="F341" s="59">
        <v>77.33</v>
      </c>
      <c r="G341" s="59">
        <v>7.1</v>
      </c>
      <c r="H341" s="59" t="s">
        <v>152</v>
      </c>
      <c r="I341" s="59">
        <v>28</v>
      </c>
      <c r="J341" s="110">
        <f t="shared" si="8"/>
        <v>9.24</v>
      </c>
      <c r="K341" s="172">
        <v>37.333333333333336</v>
      </c>
      <c r="L341" s="148" t="s">
        <v>512</v>
      </c>
      <c r="M341" s="170"/>
    </row>
    <row r="342" spans="1:13">
      <c r="A342" s="2"/>
      <c r="B342" s="61" t="s">
        <v>656</v>
      </c>
      <c r="C342" s="59">
        <v>400</v>
      </c>
      <c r="D342" s="59">
        <v>6.67</v>
      </c>
      <c r="E342" s="59">
        <v>1.67</v>
      </c>
      <c r="F342" s="59">
        <v>86</v>
      </c>
      <c r="G342" s="59">
        <v>1</v>
      </c>
      <c r="H342" s="59" t="s">
        <v>152</v>
      </c>
      <c r="I342" s="59">
        <v>30</v>
      </c>
      <c r="J342" s="110">
        <f t="shared" si="8"/>
        <v>9.9</v>
      </c>
      <c r="K342" s="172">
        <v>40</v>
      </c>
      <c r="L342" s="148" t="s">
        <v>512</v>
      </c>
      <c r="M342" s="170"/>
    </row>
    <row r="343" spans="1:13">
      <c r="A343" s="2"/>
      <c r="B343" s="61" t="s">
        <v>674</v>
      </c>
      <c r="C343" s="59">
        <v>400</v>
      </c>
      <c r="D343" s="59">
        <v>10</v>
      </c>
      <c r="E343" s="59">
        <v>3.3</v>
      </c>
      <c r="F343" s="59">
        <v>82.5</v>
      </c>
      <c r="G343" s="59">
        <v>6.7</v>
      </c>
      <c r="H343" s="59" t="s">
        <v>149</v>
      </c>
      <c r="I343" s="59">
        <v>30</v>
      </c>
      <c r="J343" s="110">
        <f t="shared" si="8"/>
        <v>3.75</v>
      </c>
      <c r="K343" s="172">
        <v>30</v>
      </c>
      <c r="L343" s="148" t="s">
        <v>512</v>
      </c>
      <c r="M343" s="170"/>
    </row>
    <row r="344" spans="1:13">
      <c r="A344" s="2"/>
      <c r="B344" s="61" t="s">
        <v>691</v>
      </c>
      <c r="C344" s="59">
        <v>387</v>
      </c>
      <c r="D344" s="59">
        <v>6.4</v>
      </c>
      <c r="E344" s="59">
        <v>1.85</v>
      </c>
      <c r="F344" s="59">
        <v>89</v>
      </c>
      <c r="G344" s="59">
        <v>3.7</v>
      </c>
      <c r="H344" s="59" t="s">
        <v>152</v>
      </c>
      <c r="I344" s="59">
        <v>27</v>
      </c>
      <c r="J344" s="110">
        <f t="shared" si="8"/>
        <v>8.91</v>
      </c>
      <c r="K344" s="172">
        <v>36</v>
      </c>
      <c r="L344" s="148" t="s">
        <v>512</v>
      </c>
      <c r="M344" s="170"/>
    </row>
    <row r="345" spans="1:13">
      <c r="A345" s="2"/>
      <c r="B345" s="61" t="s">
        <v>712</v>
      </c>
      <c r="C345" s="59">
        <v>395</v>
      </c>
      <c r="D345" s="59">
        <v>5.2</v>
      </c>
      <c r="E345" s="59">
        <v>2.1</v>
      </c>
      <c r="F345" s="59">
        <v>88.9</v>
      </c>
      <c r="G345" s="59">
        <v>2.5</v>
      </c>
      <c r="H345" s="59" t="s">
        <v>330</v>
      </c>
      <c r="I345" s="59">
        <v>29</v>
      </c>
      <c r="J345" s="110">
        <f t="shared" ref="J345:J376" si="9">I345*VLOOKUP(H345,Fractional,2,FALSE)</f>
        <v>5.4375</v>
      </c>
      <c r="K345" s="172">
        <v>21.755438859714928</v>
      </c>
      <c r="L345" s="148" t="s">
        <v>512</v>
      </c>
      <c r="M345" s="170"/>
    </row>
    <row r="346" spans="1:13">
      <c r="A346" s="2"/>
      <c r="B346" s="61" t="s">
        <v>678</v>
      </c>
      <c r="C346" s="59">
        <v>366</v>
      </c>
      <c r="D346" s="59">
        <v>7</v>
      </c>
      <c r="E346" s="59">
        <v>3.3</v>
      </c>
      <c r="F346" s="59">
        <v>81.7</v>
      </c>
      <c r="G346" s="59">
        <v>5.2</v>
      </c>
      <c r="H346" s="59" t="s">
        <v>152</v>
      </c>
      <c r="I346" s="59">
        <v>53</v>
      </c>
      <c r="J346" s="110">
        <f t="shared" si="9"/>
        <v>17.490000000000002</v>
      </c>
      <c r="K346" s="172">
        <v>70.666666666666671</v>
      </c>
      <c r="L346" s="148" t="s">
        <v>512</v>
      </c>
      <c r="M346" s="170"/>
    </row>
    <row r="347" spans="1:13">
      <c r="A347" s="2"/>
      <c r="B347" s="61" t="s">
        <v>657</v>
      </c>
      <c r="C347" s="59">
        <v>400</v>
      </c>
      <c r="D347" s="59">
        <v>3.33</v>
      </c>
      <c r="E347" s="59">
        <v>3.33</v>
      </c>
      <c r="F347" s="59">
        <v>87.26</v>
      </c>
      <c r="G347" s="59">
        <v>3.3</v>
      </c>
      <c r="H347" s="59" t="s">
        <v>332</v>
      </c>
      <c r="I347" s="59">
        <v>30</v>
      </c>
      <c r="J347" s="110">
        <f t="shared" si="9"/>
        <v>6</v>
      </c>
      <c r="K347" s="172">
        <v>24</v>
      </c>
      <c r="L347" s="148" t="s">
        <v>512</v>
      </c>
      <c r="M347" s="170"/>
    </row>
    <row r="348" spans="1:13">
      <c r="A348" s="2"/>
      <c r="B348" s="61" t="s">
        <v>675</v>
      </c>
      <c r="C348" s="59">
        <v>316</v>
      </c>
      <c r="D348" s="59">
        <v>9.4</v>
      </c>
      <c r="E348" s="59">
        <v>3.6</v>
      </c>
      <c r="F348" s="59">
        <v>81.8</v>
      </c>
      <c r="G348" s="59">
        <v>22.2</v>
      </c>
      <c r="H348" s="59" t="s">
        <v>149</v>
      </c>
      <c r="I348" s="59">
        <v>53</v>
      </c>
      <c r="J348" s="110">
        <f t="shared" si="9"/>
        <v>6.625</v>
      </c>
      <c r="K348" s="172">
        <v>53</v>
      </c>
      <c r="L348" s="148" t="s">
        <v>512</v>
      </c>
      <c r="M348" s="170"/>
    </row>
    <row r="349" spans="1:13">
      <c r="A349" s="2"/>
      <c r="B349" s="61" t="s">
        <v>676</v>
      </c>
      <c r="C349" s="59">
        <v>348</v>
      </c>
      <c r="D349" s="59">
        <v>12.6</v>
      </c>
      <c r="E349" s="59">
        <v>4.7</v>
      </c>
      <c r="F349" s="59">
        <v>76</v>
      </c>
      <c r="G349" s="59">
        <v>14.2</v>
      </c>
      <c r="H349" s="59" t="s">
        <v>152</v>
      </c>
      <c r="I349" s="59">
        <v>33</v>
      </c>
      <c r="J349" s="110">
        <f t="shared" si="9"/>
        <v>10.89</v>
      </c>
      <c r="K349" s="172">
        <v>44</v>
      </c>
      <c r="L349" s="148" t="s">
        <v>512</v>
      </c>
      <c r="M349" s="170"/>
    </row>
    <row r="350" spans="1:13">
      <c r="A350" s="2"/>
      <c r="B350" s="61" t="s">
        <v>725</v>
      </c>
      <c r="C350" s="59">
        <v>386</v>
      </c>
      <c r="D350" s="59">
        <v>6.54</v>
      </c>
      <c r="E350" s="59">
        <v>3.47</v>
      </c>
      <c r="F350" s="59">
        <v>85</v>
      </c>
      <c r="G350" s="59">
        <v>3.5</v>
      </c>
      <c r="H350" s="59" t="s">
        <v>331</v>
      </c>
      <c r="I350" s="59">
        <v>31</v>
      </c>
      <c r="J350" s="110">
        <f t="shared" si="9"/>
        <v>5.1770000000000005</v>
      </c>
      <c r="K350" s="172">
        <v>20.666666666666668</v>
      </c>
      <c r="L350" s="148" t="s">
        <v>512</v>
      </c>
      <c r="M350" s="170"/>
    </row>
    <row r="351" spans="1:13">
      <c r="A351" s="2"/>
      <c r="B351" s="61" t="s">
        <v>658</v>
      </c>
      <c r="C351" s="59">
        <v>367</v>
      </c>
      <c r="D351" s="59">
        <v>7.69</v>
      </c>
      <c r="E351" s="59">
        <v>3.46</v>
      </c>
      <c r="F351" s="59">
        <v>82.82</v>
      </c>
      <c r="G351" s="59">
        <v>8.9</v>
      </c>
      <c r="H351" s="59" t="s">
        <v>332</v>
      </c>
      <c r="I351" s="59">
        <v>30</v>
      </c>
      <c r="J351" s="109">
        <f t="shared" si="9"/>
        <v>6</v>
      </c>
      <c r="K351" s="172">
        <v>24</v>
      </c>
      <c r="L351" s="148" t="s">
        <v>512</v>
      </c>
      <c r="M351" s="170"/>
    </row>
    <row r="352" spans="1:13">
      <c r="A352" s="2"/>
      <c r="B352" s="61" t="s">
        <v>717</v>
      </c>
      <c r="C352" s="59">
        <v>366</v>
      </c>
      <c r="D352" s="59">
        <v>8</v>
      </c>
      <c r="E352" s="59">
        <v>5</v>
      </c>
      <c r="F352" s="59">
        <v>80</v>
      </c>
      <c r="G352" s="59">
        <v>5</v>
      </c>
      <c r="H352" s="59" t="s">
        <v>162</v>
      </c>
      <c r="I352" s="59">
        <v>60</v>
      </c>
      <c r="J352" s="110">
        <f t="shared" si="9"/>
        <v>22.5</v>
      </c>
      <c r="K352" s="172">
        <v>90.090090090090087</v>
      </c>
      <c r="L352" s="148" t="s">
        <v>512</v>
      </c>
      <c r="M352" s="170"/>
    </row>
    <row r="353" spans="1:13">
      <c r="A353" s="2"/>
      <c r="B353" s="61" t="s">
        <v>659</v>
      </c>
      <c r="C353" s="59">
        <v>407</v>
      </c>
      <c r="D353" s="59">
        <v>7.02</v>
      </c>
      <c r="E353" s="59">
        <v>3.63</v>
      </c>
      <c r="F353" s="59">
        <v>82.9</v>
      </c>
      <c r="G353" s="59">
        <v>4.7</v>
      </c>
      <c r="H353" s="59" t="s">
        <v>152</v>
      </c>
      <c r="I353" s="59">
        <v>27</v>
      </c>
      <c r="J353" s="109">
        <f t="shared" si="9"/>
        <v>8.91</v>
      </c>
      <c r="K353" s="172">
        <v>36</v>
      </c>
      <c r="L353" s="148" t="s">
        <v>512</v>
      </c>
      <c r="M353" s="170"/>
    </row>
    <row r="354" spans="1:13">
      <c r="A354" s="2"/>
      <c r="B354" s="61" t="s">
        <v>735</v>
      </c>
      <c r="C354" s="59">
        <v>352</v>
      </c>
      <c r="D354" s="59">
        <v>11.2</v>
      </c>
      <c r="E354" s="59">
        <v>2.1</v>
      </c>
      <c r="F354" s="59">
        <v>77.3</v>
      </c>
      <c r="G354" s="59">
        <v>4.2</v>
      </c>
      <c r="H354" s="59" t="s">
        <v>101</v>
      </c>
      <c r="I354" s="59">
        <v>151</v>
      </c>
      <c r="J354" s="109">
        <f t="shared" si="9"/>
        <v>18.875</v>
      </c>
      <c r="K354" s="172">
        <v>151</v>
      </c>
      <c r="L354" s="148" t="s">
        <v>512</v>
      </c>
      <c r="M354" s="170"/>
    </row>
    <row r="355" spans="1:13">
      <c r="A355" s="2"/>
      <c r="B355" s="61" t="s">
        <v>745</v>
      </c>
      <c r="C355" s="59">
        <v>394</v>
      </c>
      <c r="D355" s="59">
        <v>4</v>
      </c>
      <c r="E355" s="59">
        <v>0.34</v>
      </c>
      <c r="F355" s="59">
        <v>93.7</v>
      </c>
      <c r="G355" s="59">
        <v>1.8</v>
      </c>
      <c r="H355" s="59" t="s">
        <v>101</v>
      </c>
      <c r="I355" s="59">
        <v>31</v>
      </c>
      <c r="J355" s="110">
        <f t="shared" si="9"/>
        <v>3.875</v>
      </c>
      <c r="K355" s="172">
        <v>31</v>
      </c>
      <c r="L355" s="148" t="s">
        <v>512</v>
      </c>
      <c r="M355" s="170"/>
    </row>
    <row r="356" spans="1:13">
      <c r="A356" s="2"/>
      <c r="B356" s="61" t="s">
        <v>736</v>
      </c>
      <c r="C356" s="59">
        <v>361</v>
      </c>
      <c r="D356" s="59">
        <v>11.8</v>
      </c>
      <c r="E356" s="59">
        <v>1.27</v>
      </c>
      <c r="F356" s="59">
        <v>75.599999999999994</v>
      </c>
      <c r="G356" s="59">
        <v>4</v>
      </c>
      <c r="H356" s="59" t="s">
        <v>101</v>
      </c>
      <c r="I356" s="59">
        <v>165</v>
      </c>
      <c r="J356" s="109">
        <f t="shared" si="9"/>
        <v>20.625</v>
      </c>
      <c r="K356" s="172">
        <v>165</v>
      </c>
      <c r="L356" s="148" t="s">
        <v>512</v>
      </c>
      <c r="M356" s="170"/>
    </row>
    <row r="357" spans="1:13">
      <c r="A357" s="2"/>
      <c r="B357" s="61" t="s">
        <v>713</v>
      </c>
      <c r="C357" s="59">
        <v>398</v>
      </c>
      <c r="D357" s="59">
        <v>5.9</v>
      </c>
      <c r="E357" s="59">
        <v>3.3</v>
      </c>
      <c r="F357" s="59">
        <v>86.7</v>
      </c>
      <c r="G357" s="59">
        <v>1.7</v>
      </c>
      <c r="H357" s="59" t="s">
        <v>149</v>
      </c>
      <c r="I357" s="59">
        <v>29</v>
      </c>
      <c r="J357" s="110">
        <f t="shared" si="9"/>
        <v>3.625</v>
      </c>
      <c r="K357" s="172">
        <v>29</v>
      </c>
      <c r="L357" s="148" t="s">
        <v>512</v>
      </c>
      <c r="M357" s="170"/>
    </row>
    <row r="358" spans="1:13">
      <c r="A358" s="2"/>
      <c r="B358" s="61" t="s">
        <v>737</v>
      </c>
      <c r="C358" s="59">
        <v>385</v>
      </c>
      <c r="D358" s="59">
        <v>13.2</v>
      </c>
      <c r="E358" s="59">
        <v>5.3</v>
      </c>
      <c r="F358" s="59">
        <v>72</v>
      </c>
      <c r="G358" s="59">
        <v>10.8</v>
      </c>
      <c r="H358" s="59" t="s">
        <v>101</v>
      </c>
      <c r="I358" s="59">
        <v>94</v>
      </c>
      <c r="J358" s="109">
        <f t="shared" si="9"/>
        <v>11.75</v>
      </c>
      <c r="K358" s="172">
        <v>94</v>
      </c>
      <c r="L358" s="148" t="s">
        <v>512</v>
      </c>
      <c r="M358" s="170"/>
    </row>
    <row r="359" spans="1:13">
      <c r="A359" s="2"/>
      <c r="B359" s="61" t="s">
        <v>692</v>
      </c>
      <c r="C359" s="59">
        <v>357</v>
      </c>
      <c r="D359" s="59">
        <v>9.1</v>
      </c>
      <c r="E359" s="59">
        <v>5.5</v>
      </c>
      <c r="F359" s="59">
        <v>73</v>
      </c>
      <c r="G359" s="59">
        <v>7.3</v>
      </c>
      <c r="H359" s="59" t="s">
        <v>70</v>
      </c>
      <c r="I359" s="59">
        <v>55</v>
      </c>
      <c r="J359" s="110">
        <f t="shared" si="9"/>
        <v>20.625</v>
      </c>
      <c r="K359" s="172">
        <v>82.458770614692654</v>
      </c>
      <c r="L359" s="148" t="s">
        <v>512</v>
      </c>
      <c r="M359" s="170"/>
    </row>
    <row r="360" spans="1:13">
      <c r="A360" s="2"/>
      <c r="B360" s="61" t="s">
        <v>660</v>
      </c>
      <c r="C360" s="59">
        <v>328</v>
      </c>
      <c r="D360" s="59">
        <v>6.9</v>
      </c>
      <c r="E360" s="59">
        <v>2.59</v>
      </c>
      <c r="F360" s="59">
        <v>84.06</v>
      </c>
      <c r="G360" s="59">
        <v>12.1</v>
      </c>
      <c r="H360" s="59" t="s">
        <v>149</v>
      </c>
      <c r="I360" s="59">
        <v>55</v>
      </c>
      <c r="J360" s="110">
        <f t="shared" si="9"/>
        <v>6.875</v>
      </c>
      <c r="K360" s="172">
        <v>55</v>
      </c>
      <c r="L360" s="148" t="s">
        <v>512</v>
      </c>
      <c r="M360" s="170"/>
    </row>
    <row r="361" spans="1:13">
      <c r="A361" s="2"/>
      <c r="B361" s="61" t="s">
        <v>661</v>
      </c>
      <c r="C361" s="59">
        <v>379</v>
      </c>
      <c r="D361" s="59">
        <v>6.9</v>
      </c>
      <c r="E361" s="59">
        <v>3.45</v>
      </c>
      <c r="F361" s="59">
        <v>83.34</v>
      </c>
      <c r="G361" s="59">
        <v>9.3000000000000007</v>
      </c>
      <c r="H361" s="59" t="s">
        <v>101</v>
      </c>
      <c r="I361" s="59">
        <v>30</v>
      </c>
      <c r="J361" s="110">
        <f t="shared" si="9"/>
        <v>3.75</v>
      </c>
      <c r="K361" s="172">
        <v>30</v>
      </c>
      <c r="L361" s="148" t="s">
        <v>512</v>
      </c>
      <c r="M361" s="170"/>
    </row>
    <row r="362" spans="1:13">
      <c r="A362" s="2"/>
      <c r="B362" s="61" t="s">
        <v>721</v>
      </c>
      <c r="C362" s="59">
        <v>61</v>
      </c>
      <c r="D362" s="59">
        <v>2.08</v>
      </c>
      <c r="E362" s="59">
        <v>0.47</v>
      </c>
      <c r="F362" s="59">
        <v>13.49</v>
      </c>
      <c r="G362" s="59">
        <v>2.2000000000000002</v>
      </c>
      <c r="H362" s="146">
        <v>0</v>
      </c>
      <c r="I362" s="146">
        <v>0</v>
      </c>
      <c r="J362" s="110">
        <f t="shared" si="9"/>
        <v>0</v>
      </c>
      <c r="K362" s="175">
        <v>0</v>
      </c>
      <c r="L362" s="148" t="s">
        <v>512</v>
      </c>
      <c r="M362" s="170"/>
    </row>
    <row r="363" spans="1:13">
      <c r="A363" s="2"/>
      <c r="B363" s="61" t="s">
        <v>662</v>
      </c>
      <c r="C363" s="59">
        <v>386</v>
      </c>
      <c r="D363" s="59">
        <v>8</v>
      </c>
      <c r="E363" s="59">
        <v>4.5999999999999996</v>
      </c>
      <c r="F363" s="59">
        <v>80</v>
      </c>
      <c r="G363" s="59">
        <v>5</v>
      </c>
      <c r="H363" s="59" t="s">
        <v>70</v>
      </c>
      <c r="I363" s="59">
        <v>55</v>
      </c>
      <c r="J363" s="110">
        <f t="shared" si="9"/>
        <v>20.625</v>
      </c>
      <c r="K363" s="172">
        <v>82.458770614692654</v>
      </c>
      <c r="L363" s="148" t="s">
        <v>512</v>
      </c>
      <c r="M363" s="170"/>
    </row>
    <row r="364" spans="1:13">
      <c r="A364" s="2"/>
      <c r="B364" s="61" t="s">
        <v>663</v>
      </c>
      <c r="C364" s="59">
        <v>400</v>
      </c>
      <c r="D364" s="59">
        <v>9.09</v>
      </c>
      <c r="E364" s="59">
        <v>8.18</v>
      </c>
      <c r="F364" s="59">
        <v>77.25</v>
      </c>
      <c r="G364" s="59">
        <v>7.5</v>
      </c>
      <c r="H364" s="59" t="s">
        <v>149</v>
      </c>
      <c r="I364" s="59">
        <v>55</v>
      </c>
      <c r="J364" s="110">
        <f t="shared" si="9"/>
        <v>6.875</v>
      </c>
      <c r="K364" s="172">
        <v>55</v>
      </c>
      <c r="L364" s="148" t="s">
        <v>512</v>
      </c>
      <c r="M364" s="170"/>
    </row>
    <row r="365" spans="1:13">
      <c r="A365" s="2"/>
      <c r="B365" s="61" t="s">
        <v>743</v>
      </c>
      <c r="C365" s="59">
        <v>365</v>
      </c>
      <c r="D365" s="59">
        <v>8.8699999999999992</v>
      </c>
      <c r="E365" s="59">
        <v>5.5</v>
      </c>
      <c r="F365" s="59">
        <v>73.69</v>
      </c>
      <c r="G365" s="59">
        <v>6.6</v>
      </c>
      <c r="H365" s="59" t="s">
        <v>97</v>
      </c>
      <c r="I365" s="59">
        <v>37</v>
      </c>
      <c r="J365" s="110">
        <f t="shared" si="9"/>
        <v>18.5</v>
      </c>
      <c r="K365" s="172">
        <v>37</v>
      </c>
      <c r="L365" s="142" t="s">
        <v>565</v>
      </c>
      <c r="M365" s="170"/>
    </row>
    <row r="366" spans="1:13">
      <c r="A366" s="2"/>
      <c r="B366" s="61" t="s">
        <v>741</v>
      </c>
      <c r="C366" s="59">
        <v>72</v>
      </c>
      <c r="D366" s="59">
        <v>1.45</v>
      </c>
      <c r="E366" s="59">
        <v>1.36</v>
      </c>
      <c r="F366" s="59">
        <v>13.56</v>
      </c>
      <c r="G366" s="59">
        <v>1.1000000000000001</v>
      </c>
      <c r="H366" s="59" t="s">
        <v>156</v>
      </c>
      <c r="I366" s="59">
        <v>193</v>
      </c>
      <c r="J366" s="110">
        <f t="shared" si="9"/>
        <v>96.5</v>
      </c>
      <c r="K366" s="172">
        <v>193</v>
      </c>
      <c r="L366" s="142" t="s">
        <v>565</v>
      </c>
      <c r="M366" s="170"/>
    </row>
    <row r="367" spans="1:13">
      <c r="A367" s="2"/>
      <c r="B367" s="61" t="s">
        <v>744</v>
      </c>
      <c r="C367" s="59">
        <v>386</v>
      </c>
      <c r="D367" s="59">
        <v>7.99</v>
      </c>
      <c r="E367" s="59">
        <v>7.52</v>
      </c>
      <c r="F367" s="59">
        <v>74.72</v>
      </c>
      <c r="G367" s="59">
        <v>5.8</v>
      </c>
      <c r="H367" s="59" t="s">
        <v>97</v>
      </c>
      <c r="I367" s="59">
        <v>35</v>
      </c>
      <c r="J367" s="110">
        <f t="shared" si="9"/>
        <v>17.5</v>
      </c>
      <c r="K367" s="172">
        <v>35</v>
      </c>
      <c r="L367" s="142" t="s">
        <v>565</v>
      </c>
      <c r="M367" s="170"/>
    </row>
    <row r="368" spans="1:13">
      <c r="A368" s="2"/>
      <c r="B368" s="61" t="s">
        <v>742</v>
      </c>
      <c r="C368" s="59">
        <v>366</v>
      </c>
      <c r="D368" s="59">
        <v>8.93</v>
      </c>
      <c r="E368" s="59">
        <v>4.83</v>
      </c>
      <c r="F368" s="59">
        <v>75.28</v>
      </c>
      <c r="G368" s="59">
        <v>6.6</v>
      </c>
      <c r="H368" s="59" t="s">
        <v>97</v>
      </c>
      <c r="I368" s="59">
        <v>43</v>
      </c>
      <c r="J368" s="110">
        <f t="shared" si="9"/>
        <v>21.5</v>
      </c>
      <c r="K368" s="172">
        <v>43</v>
      </c>
      <c r="L368" s="142" t="s">
        <v>565</v>
      </c>
      <c r="M368" s="170"/>
    </row>
    <row r="369" spans="1:13">
      <c r="A369" s="2"/>
      <c r="B369" s="61" t="s">
        <v>738</v>
      </c>
      <c r="C369" s="59">
        <v>370</v>
      </c>
      <c r="D369" s="59">
        <v>8.59</v>
      </c>
      <c r="E369" s="59">
        <v>4.67</v>
      </c>
      <c r="F369" s="59">
        <v>76.97</v>
      </c>
      <c r="G369" s="59">
        <v>6.6</v>
      </c>
      <c r="H369" s="59" t="s">
        <v>97</v>
      </c>
      <c r="I369" s="59">
        <v>46</v>
      </c>
      <c r="J369" s="110">
        <f t="shared" si="9"/>
        <v>23</v>
      </c>
      <c r="K369" s="172">
        <v>46</v>
      </c>
      <c r="L369" s="142" t="s">
        <v>565</v>
      </c>
      <c r="M369" s="170"/>
    </row>
    <row r="370" spans="1:13">
      <c r="A370" s="2"/>
      <c r="B370" s="61" t="s">
        <v>739</v>
      </c>
      <c r="C370" s="59">
        <v>360</v>
      </c>
      <c r="D370" s="59">
        <v>7.76</v>
      </c>
      <c r="E370" s="59">
        <v>4.2699999999999996</v>
      </c>
      <c r="F370" s="59">
        <v>76.31</v>
      </c>
      <c r="G370" s="59">
        <v>6.2</v>
      </c>
      <c r="H370" s="59" t="s">
        <v>97</v>
      </c>
      <c r="I370" s="59">
        <v>42.5</v>
      </c>
      <c r="J370" s="110">
        <f t="shared" si="9"/>
        <v>21.25</v>
      </c>
      <c r="K370" s="172">
        <v>42.5</v>
      </c>
      <c r="L370" s="142" t="s">
        <v>565</v>
      </c>
      <c r="M370" s="170"/>
    </row>
    <row r="371" spans="1:13">
      <c r="A371" s="2"/>
      <c r="B371" s="61" t="s">
        <v>714</v>
      </c>
      <c r="C371" s="59">
        <v>415</v>
      </c>
      <c r="D371" s="59">
        <v>4.8</v>
      </c>
      <c r="E371" s="59">
        <v>8.8000000000000007</v>
      </c>
      <c r="F371" s="59">
        <v>79.7</v>
      </c>
      <c r="G371" s="59">
        <v>5.5</v>
      </c>
      <c r="H371" s="59" t="s">
        <v>152</v>
      </c>
      <c r="I371" s="59">
        <v>27</v>
      </c>
      <c r="J371" s="110">
        <f t="shared" si="9"/>
        <v>8.91</v>
      </c>
      <c r="K371" s="172">
        <v>36</v>
      </c>
      <c r="L371" s="148" t="s">
        <v>512</v>
      </c>
      <c r="M371" s="170"/>
    </row>
    <row r="372" spans="1:13">
      <c r="A372" s="2"/>
      <c r="B372" s="61" t="s">
        <v>693</v>
      </c>
      <c r="C372" s="59">
        <v>333</v>
      </c>
      <c r="D372" s="59">
        <v>7.7</v>
      </c>
      <c r="E372" s="59">
        <v>1.4</v>
      </c>
      <c r="F372" s="59">
        <v>83</v>
      </c>
      <c r="G372" s="59">
        <v>3.3</v>
      </c>
      <c r="H372" s="59" t="s">
        <v>149</v>
      </c>
      <c r="I372" s="59">
        <v>30</v>
      </c>
      <c r="J372" s="110">
        <f t="shared" si="9"/>
        <v>3.75</v>
      </c>
      <c r="K372" s="172">
        <v>30</v>
      </c>
      <c r="L372" s="148" t="s">
        <v>512</v>
      </c>
      <c r="M372" s="170"/>
    </row>
    <row r="373" spans="1:13">
      <c r="A373" s="2"/>
      <c r="B373" s="61" t="s">
        <v>719</v>
      </c>
      <c r="C373" s="59">
        <v>394</v>
      </c>
      <c r="D373" s="59">
        <v>12</v>
      </c>
      <c r="E373" s="59">
        <v>2.9</v>
      </c>
      <c r="F373" s="59">
        <v>80</v>
      </c>
      <c r="G373" s="59">
        <v>6.8</v>
      </c>
      <c r="H373" s="59" t="s">
        <v>149</v>
      </c>
      <c r="I373" s="59">
        <v>19</v>
      </c>
      <c r="J373" s="110">
        <f t="shared" si="9"/>
        <v>2.375</v>
      </c>
      <c r="K373" s="172">
        <v>19</v>
      </c>
      <c r="L373" s="148" t="s">
        <v>512</v>
      </c>
      <c r="M373" s="170"/>
    </row>
    <row r="374" spans="1:13">
      <c r="A374" s="2"/>
      <c r="B374" s="61" t="s">
        <v>722</v>
      </c>
      <c r="C374" s="59">
        <v>383</v>
      </c>
      <c r="D374" s="59">
        <v>7</v>
      </c>
      <c r="E374" s="59">
        <v>0.9</v>
      </c>
      <c r="F374" s="59">
        <v>87.77</v>
      </c>
      <c r="G374" s="59">
        <v>1.4</v>
      </c>
      <c r="H374" s="59" t="s">
        <v>149</v>
      </c>
      <c r="I374" s="59">
        <v>14</v>
      </c>
      <c r="J374" s="110">
        <f t="shared" si="9"/>
        <v>1.75</v>
      </c>
      <c r="K374" s="172">
        <v>14</v>
      </c>
      <c r="L374" s="148" t="s">
        <v>512</v>
      </c>
      <c r="M374" s="170"/>
    </row>
    <row r="375" spans="1:13">
      <c r="A375" s="2"/>
      <c r="B375" s="61" t="s">
        <v>730</v>
      </c>
      <c r="C375" s="59">
        <v>398</v>
      </c>
      <c r="D375" s="59">
        <v>3.5</v>
      </c>
      <c r="E375" s="59">
        <v>4.2</v>
      </c>
      <c r="F375" s="59">
        <v>87.9</v>
      </c>
      <c r="G375" s="59">
        <v>1.6</v>
      </c>
      <c r="H375" s="59" t="s">
        <v>152</v>
      </c>
      <c r="I375" s="59">
        <v>29</v>
      </c>
      <c r="J375" s="109">
        <f t="shared" si="9"/>
        <v>9.57</v>
      </c>
      <c r="K375" s="172">
        <v>38.666666666666664</v>
      </c>
      <c r="L375" s="148" t="s">
        <v>512</v>
      </c>
      <c r="M375" s="170"/>
    </row>
    <row r="376" spans="1:13">
      <c r="A376" s="2"/>
      <c r="B376" s="61" t="s">
        <v>679</v>
      </c>
      <c r="C376" s="59">
        <v>322</v>
      </c>
      <c r="D376" s="59">
        <v>8.59</v>
      </c>
      <c r="E376" s="59">
        <v>2.19</v>
      </c>
      <c r="F376" s="59">
        <v>77.36</v>
      </c>
      <c r="G376" s="59">
        <v>11.1</v>
      </c>
      <c r="H376" s="59" t="s">
        <v>150</v>
      </c>
      <c r="I376" s="59">
        <v>59</v>
      </c>
      <c r="J376" s="110">
        <f t="shared" si="9"/>
        <v>7.375</v>
      </c>
      <c r="K376" s="172">
        <v>59</v>
      </c>
      <c r="L376" s="148" t="s">
        <v>512</v>
      </c>
      <c r="M376" s="170"/>
    </row>
    <row r="377" spans="1:13">
      <c r="A377" s="2"/>
      <c r="B377" s="61" t="s">
        <v>715</v>
      </c>
      <c r="C377" s="59">
        <v>317</v>
      </c>
      <c r="D377" s="59">
        <v>9.33</v>
      </c>
      <c r="E377" s="59">
        <v>2.5</v>
      </c>
      <c r="F377" s="59">
        <v>76.84</v>
      </c>
      <c r="G377" s="59">
        <v>12.1</v>
      </c>
      <c r="H377" s="59" t="s">
        <v>101</v>
      </c>
      <c r="I377" s="59">
        <v>56</v>
      </c>
      <c r="J377" s="109">
        <f t="shared" ref="J377:J400" si="10">I377*VLOOKUP(H377,Fractional,2,FALSE)</f>
        <v>7</v>
      </c>
      <c r="K377" s="172">
        <v>56</v>
      </c>
      <c r="L377" s="148" t="s">
        <v>512</v>
      </c>
      <c r="M377" s="170"/>
    </row>
    <row r="378" spans="1:13">
      <c r="A378" s="2"/>
      <c r="B378" s="61" t="s">
        <v>694</v>
      </c>
      <c r="C378" s="59">
        <v>342</v>
      </c>
      <c r="D378" s="59">
        <v>9.4</v>
      </c>
      <c r="E378" s="59">
        <v>1.4</v>
      </c>
      <c r="F378" s="59">
        <v>79.900000000000006</v>
      </c>
      <c r="G378" s="59">
        <v>8.6999999999999993</v>
      </c>
      <c r="H378" s="59" t="s">
        <v>152</v>
      </c>
      <c r="I378" s="59">
        <v>55</v>
      </c>
      <c r="J378" s="110">
        <f t="shared" si="10"/>
        <v>18.150000000000002</v>
      </c>
      <c r="K378" s="172">
        <v>73.333333333333329</v>
      </c>
      <c r="L378" s="148" t="s">
        <v>512</v>
      </c>
      <c r="M378" s="170"/>
    </row>
    <row r="379" spans="1:13">
      <c r="A379" s="2"/>
      <c r="B379" s="61" t="s">
        <v>664</v>
      </c>
      <c r="C379" s="59">
        <v>364</v>
      </c>
      <c r="D379" s="59">
        <v>7.27</v>
      </c>
      <c r="E379" s="59">
        <v>6.36</v>
      </c>
      <c r="F379" s="59">
        <v>76.36</v>
      </c>
      <c r="G379" s="59">
        <v>9.8000000000000007</v>
      </c>
      <c r="H379" s="59" t="s">
        <v>152</v>
      </c>
      <c r="I379" s="59">
        <v>55</v>
      </c>
      <c r="J379" s="110">
        <f t="shared" si="10"/>
        <v>18.150000000000002</v>
      </c>
      <c r="K379" s="172">
        <v>73.333333333333329</v>
      </c>
      <c r="L379" s="148" t="s">
        <v>512</v>
      </c>
      <c r="M379" s="170"/>
    </row>
    <row r="380" spans="1:13">
      <c r="A380" s="2"/>
      <c r="B380" s="61" t="s">
        <v>665</v>
      </c>
      <c r="C380" s="59">
        <v>387</v>
      </c>
      <c r="D380" s="59">
        <v>6.45</v>
      </c>
      <c r="E380" s="59">
        <v>1.61</v>
      </c>
      <c r="F380" s="59">
        <v>85.42</v>
      </c>
      <c r="G380" s="59">
        <v>1</v>
      </c>
      <c r="H380" s="59" t="s">
        <v>332</v>
      </c>
      <c r="I380" s="59">
        <v>31</v>
      </c>
      <c r="J380" s="110">
        <f t="shared" si="10"/>
        <v>6.2</v>
      </c>
      <c r="K380" s="172">
        <v>24.8</v>
      </c>
      <c r="L380" s="148" t="s">
        <v>512</v>
      </c>
      <c r="M380" s="170"/>
    </row>
    <row r="381" spans="1:13">
      <c r="A381" s="2"/>
      <c r="B381" s="61" t="s">
        <v>695</v>
      </c>
      <c r="C381" s="59">
        <v>387</v>
      </c>
      <c r="D381" s="59">
        <v>6.84</v>
      </c>
      <c r="E381" s="59">
        <v>0.96</v>
      </c>
      <c r="F381" s="59">
        <v>85.24</v>
      </c>
      <c r="G381" s="59">
        <v>0.8</v>
      </c>
      <c r="H381" s="59" t="s">
        <v>332</v>
      </c>
      <c r="I381" s="59">
        <v>33</v>
      </c>
      <c r="J381" s="109">
        <f t="shared" si="10"/>
        <v>6.6000000000000005</v>
      </c>
      <c r="K381" s="172">
        <v>26.4</v>
      </c>
      <c r="L381" s="148" t="s">
        <v>512</v>
      </c>
      <c r="M381" s="170"/>
    </row>
    <row r="382" spans="1:13">
      <c r="A382" s="2"/>
      <c r="B382" s="61" t="s">
        <v>696</v>
      </c>
      <c r="C382" s="59">
        <v>399</v>
      </c>
      <c r="D382" s="59">
        <v>4</v>
      </c>
      <c r="E382" s="59">
        <v>4.5999999999999996</v>
      </c>
      <c r="F382" s="59">
        <v>87</v>
      </c>
      <c r="G382" s="59">
        <v>0.2</v>
      </c>
      <c r="H382" s="59" t="s">
        <v>152</v>
      </c>
      <c r="I382" s="59">
        <v>30</v>
      </c>
      <c r="J382" s="110">
        <f t="shared" si="10"/>
        <v>9.9</v>
      </c>
      <c r="K382" s="172">
        <v>40</v>
      </c>
      <c r="L382" s="148" t="s">
        <v>512</v>
      </c>
      <c r="M382" s="170"/>
    </row>
    <row r="383" spans="1:13">
      <c r="A383" s="2"/>
      <c r="B383" s="61" t="s">
        <v>716</v>
      </c>
      <c r="C383" s="59">
        <v>334</v>
      </c>
      <c r="D383" s="59">
        <v>12.5</v>
      </c>
      <c r="E383" s="59">
        <v>1.4</v>
      </c>
      <c r="F383" s="59">
        <v>79.900000000000006</v>
      </c>
      <c r="G383" s="59">
        <v>13.4</v>
      </c>
      <c r="H383" s="59" t="s">
        <v>332</v>
      </c>
      <c r="I383" s="59">
        <v>59</v>
      </c>
      <c r="J383" s="110">
        <f t="shared" si="10"/>
        <v>11.8</v>
      </c>
      <c r="K383" s="172">
        <v>47.2</v>
      </c>
      <c r="L383" s="148" t="s">
        <v>512</v>
      </c>
      <c r="M383" s="170"/>
    </row>
    <row r="384" spans="1:13">
      <c r="A384" s="2"/>
      <c r="B384" s="61" t="s">
        <v>699</v>
      </c>
      <c r="C384" s="59">
        <v>349</v>
      </c>
      <c r="D384" s="59">
        <v>33.700000000000003</v>
      </c>
      <c r="E384" s="59">
        <v>9.6999999999999993</v>
      </c>
      <c r="F384" s="59">
        <v>47.8</v>
      </c>
      <c r="G384" s="59">
        <v>17</v>
      </c>
      <c r="H384" s="59" t="s">
        <v>152</v>
      </c>
      <c r="I384" s="59">
        <v>29</v>
      </c>
      <c r="J384" s="110">
        <f t="shared" si="10"/>
        <v>9.57</v>
      </c>
      <c r="K384" s="172">
        <v>38.666666666666664</v>
      </c>
      <c r="L384" s="148" t="s">
        <v>512</v>
      </c>
      <c r="M384" s="170"/>
    </row>
    <row r="385" spans="1:13">
      <c r="A385" s="2"/>
      <c r="B385" s="61" t="s">
        <v>697</v>
      </c>
      <c r="C385" s="59">
        <v>335</v>
      </c>
      <c r="D385" s="59">
        <v>9.1</v>
      </c>
      <c r="E385" s="59">
        <v>2</v>
      </c>
      <c r="F385" s="59">
        <v>80</v>
      </c>
      <c r="G385" s="59">
        <v>9.6999999999999993</v>
      </c>
      <c r="H385" s="59" t="s">
        <v>149</v>
      </c>
      <c r="I385" s="59">
        <v>55</v>
      </c>
      <c r="J385" s="110">
        <f t="shared" si="10"/>
        <v>6.875</v>
      </c>
      <c r="K385" s="172">
        <v>55</v>
      </c>
      <c r="L385" s="148" t="s">
        <v>512</v>
      </c>
      <c r="M385" s="170"/>
    </row>
    <row r="386" spans="1:13">
      <c r="A386" s="2"/>
      <c r="B386" s="61" t="s">
        <v>727</v>
      </c>
      <c r="C386" s="59">
        <v>405</v>
      </c>
      <c r="D386" s="59">
        <v>4.5</v>
      </c>
      <c r="E386" s="59">
        <v>6.07</v>
      </c>
      <c r="F386" s="59">
        <v>85.03</v>
      </c>
      <c r="G386" s="59">
        <v>2.2999999999999998</v>
      </c>
      <c r="H386" s="59" t="s">
        <v>149</v>
      </c>
      <c r="I386" s="59">
        <v>27</v>
      </c>
      <c r="J386" s="110">
        <f t="shared" si="10"/>
        <v>3.375</v>
      </c>
      <c r="K386" s="172">
        <v>27</v>
      </c>
      <c r="L386" s="148" t="s">
        <v>512</v>
      </c>
      <c r="M386" s="170"/>
    </row>
    <row r="387" spans="1:13">
      <c r="A387" s="2"/>
      <c r="B387" s="61" t="s">
        <v>729</v>
      </c>
      <c r="C387" s="59">
        <v>398</v>
      </c>
      <c r="D387" s="59">
        <v>11.83</v>
      </c>
      <c r="E387" s="59">
        <v>5.97</v>
      </c>
      <c r="F387" s="59">
        <v>74.22</v>
      </c>
      <c r="G387" s="59">
        <v>10.7</v>
      </c>
      <c r="H387" s="59" t="s">
        <v>334</v>
      </c>
      <c r="I387" s="59">
        <v>30</v>
      </c>
      <c r="J387" s="109">
        <f t="shared" si="10"/>
        <v>3.75</v>
      </c>
      <c r="K387" s="172">
        <v>30</v>
      </c>
      <c r="L387" s="148" t="s">
        <v>512</v>
      </c>
      <c r="M387" s="170"/>
    </row>
    <row r="388" spans="1:13">
      <c r="A388" s="2"/>
      <c r="B388" s="61" t="s">
        <v>666</v>
      </c>
      <c r="C388" s="59">
        <v>370</v>
      </c>
      <c r="D388" s="59">
        <v>7.41</v>
      </c>
      <c r="E388" s="59">
        <v>3.7</v>
      </c>
      <c r="F388" s="59">
        <v>82.88</v>
      </c>
      <c r="G388" s="59">
        <v>6.7</v>
      </c>
      <c r="H388" s="59" t="s">
        <v>152</v>
      </c>
      <c r="I388" s="59">
        <v>27</v>
      </c>
      <c r="J388" s="110">
        <f t="shared" si="10"/>
        <v>8.91</v>
      </c>
      <c r="K388" s="172">
        <v>36</v>
      </c>
      <c r="L388" s="148" t="s">
        <v>512</v>
      </c>
      <c r="M388" s="170"/>
    </row>
    <row r="389" spans="1:13">
      <c r="A389" s="2"/>
      <c r="B389" s="61" t="s">
        <v>718</v>
      </c>
      <c r="C389" s="59">
        <v>360</v>
      </c>
      <c r="D389" s="59">
        <v>6.7</v>
      </c>
      <c r="E389" s="59">
        <v>0.1</v>
      </c>
      <c r="F389" s="59">
        <v>86.7</v>
      </c>
      <c r="G389" s="59">
        <v>4.5</v>
      </c>
      <c r="H389" s="59" t="s">
        <v>149</v>
      </c>
      <c r="I389" s="59">
        <v>28</v>
      </c>
      <c r="J389" s="110">
        <f t="shared" si="10"/>
        <v>3.5</v>
      </c>
      <c r="K389" s="172">
        <v>28</v>
      </c>
      <c r="L389" s="148" t="s">
        <v>512</v>
      </c>
      <c r="M389" s="170"/>
    </row>
    <row r="390" spans="1:13">
      <c r="A390" s="2"/>
      <c r="B390" s="61" t="s">
        <v>667</v>
      </c>
      <c r="C390" s="59">
        <v>373</v>
      </c>
      <c r="D390" s="59">
        <v>6.05</v>
      </c>
      <c r="E390" s="59">
        <v>1.61</v>
      </c>
      <c r="F390" s="59">
        <v>85.55</v>
      </c>
      <c r="G390" s="59">
        <v>2.5</v>
      </c>
      <c r="H390" s="59" t="s">
        <v>330</v>
      </c>
      <c r="I390" s="59">
        <v>30</v>
      </c>
      <c r="J390" s="110">
        <f t="shared" si="10"/>
        <v>5.625</v>
      </c>
      <c r="K390" s="172">
        <v>22.50562640660165</v>
      </c>
      <c r="L390" s="148" t="s">
        <v>512</v>
      </c>
      <c r="M390" s="170"/>
    </row>
    <row r="391" spans="1:13">
      <c r="A391" s="2"/>
      <c r="B391" s="61" t="s">
        <v>668</v>
      </c>
      <c r="C391" s="59">
        <v>309</v>
      </c>
      <c r="D391" s="59">
        <v>5.45</v>
      </c>
      <c r="E391" s="59">
        <v>1.82</v>
      </c>
      <c r="F391" s="59">
        <v>76.36</v>
      </c>
      <c r="G391" s="59">
        <v>9.1</v>
      </c>
      <c r="H391" s="59" t="s">
        <v>149</v>
      </c>
      <c r="I391" s="59">
        <v>55</v>
      </c>
      <c r="J391" s="110">
        <f t="shared" si="10"/>
        <v>6.875</v>
      </c>
      <c r="K391" s="172">
        <v>55</v>
      </c>
      <c r="L391" s="148" t="s">
        <v>512</v>
      </c>
      <c r="M391" s="170"/>
    </row>
    <row r="392" spans="1:13">
      <c r="A392" s="2"/>
      <c r="B392" s="61" t="s">
        <v>669</v>
      </c>
      <c r="C392" s="59">
        <v>400</v>
      </c>
      <c r="D392" s="59">
        <v>3.33</v>
      </c>
      <c r="E392" s="59">
        <v>5</v>
      </c>
      <c r="F392" s="59">
        <v>86.67</v>
      </c>
      <c r="G392" s="59">
        <v>3.3</v>
      </c>
      <c r="H392" s="59" t="s">
        <v>149</v>
      </c>
      <c r="I392" s="59">
        <v>30</v>
      </c>
      <c r="J392" s="110">
        <f t="shared" si="10"/>
        <v>3.75</v>
      </c>
      <c r="K392" s="172">
        <v>30</v>
      </c>
      <c r="L392" s="148" t="s">
        <v>512</v>
      </c>
      <c r="M392" s="170"/>
    </row>
    <row r="393" spans="1:13">
      <c r="A393" s="2"/>
      <c r="B393" s="61" t="s">
        <v>1337</v>
      </c>
      <c r="C393" s="59">
        <v>405</v>
      </c>
      <c r="D393" s="59">
        <v>5.6</v>
      </c>
      <c r="E393" s="59">
        <v>4.2</v>
      </c>
      <c r="F393" s="59">
        <v>86.3</v>
      </c>
      <c r="G393" s="62"/>
      <c r="H393" s="59" t="s">
        <v>101</v>
      </c>
      <c r="I393" s="59">
        <v>30</v>
      </c>
      <c r="J393" s="109">
        <f t="shared" si="10"/>
        <v>3.75</v>
      </c>
      <c r="K393" s="172">
        <v>30</v>
      </c>
      <c r="L393" s="148" t="s">
        <v>512</v>
      </c>
      <c r="M393" s="170"/>
    </row>
    <row r="394" spans="1:13">
      <c r="A394" s="2"/>
      <c r="B394" s="61" t="s">
        <v>670</v>
      </c>
      <c r="C394" s="59">
        <v>360</v>
      </c>
      <c r="D394" s="59">
        <v>10</v>
      </c>
      <c r="E394" s="59">
        <v>2</v>
      </c>
      <c r="F394" s="59">
        <v>81.09</v>
      </c>
      <c r="G394" s="59">
        <v>10.8</v>
      </c>
      <c r="H394" s="59" t="s">
        <v>152</v>
      </c>
      <c r="I394" s="59">
        <v>47</v>
      </c>
      <c r="J394" s="110">
        <f t="shared" si="10"/>
        <v>15.510000000000002</v>
      </c>
      <c r="K394" s="172">
        <v>62.666666666666664</v>
      </c>
      <c r="L394" s="148" t="s">
        <v>512</v>
      </c>
      <c r="M394" s="170"/>
    </row>
    <row r="395" spans="1:13">
      <c r="A395" s="2"/>
      <c r="B395" s="61" t="s">
        <v>1338</v>
      </c>
      <c r="C395" s="59">
        <v>382</v>
      </c>
      <c r="D395" s="59">
        <v>29.1</v>
      </c>
      <c r="E395" s="59">
        <v>10.7</v>
      </c>
      <c r="F395" s="59">
        <v>49.6</v>
      </c>
      <c r="G395" s="59">
        <v>15.1</v>
      </c>
      <c r="H395" s="59" t="s">
        <v>101</v>
      </c>
      <c r="I395" s="59">
        <v>113</v>
      </c>
      <c r="J395" s="109">
        <f t="shared" si="10"/>
        <v>14.125</v>
      </c>
      <c r="K395" s="172">
        <v>113</v>
      </c>
      <c r="L395" s="148" t="s">
        <v>512</v>
      </c>
      <c r="M395" s="170"/>
    </row>
    <row r="396" spans="1:13">
      <c r="A396" s="2"/>
      <c r="B396" s="61" t="s">
        <v>731</v>
      </c>
      <c r="C396" s="59">
        <v>398</v>
      </c>
      <c r="D396" s="59">
        <v>5.5</v>
      </c>
      <c r="E396" s="59">
        <v>1.4</v>
      </c>
      <c r="F396" s="59">
        <v>90.9</v>
      </c>
      <c r="G396" s="59">
        <v>0</v>
      </c>
      <c r="H396" s="59" t="s">
        <v>152</v>
      </c>
      <c r="I396" s="59">
        <v>27</v>
      </c>
      <c r="J396" s="110">
        <f t="shared" si="10"/>
        <v>8.91</v>
      </c>
      <c r="K396" s="172">
        <v>36</v>
      </c>
      <c r="L396" s="148" t="s">
        <v>512</v>
      </c>
      <c r="M396" s="170"/>
    </row>
    <row r="397" spans="1:13">
      <c r="A397" s="2"/>
      <c r="B397" s="61" t="s">
        <v>671</v>
      </c>
      <c r="C397" s="59">
        <v>367</v>
      </c>
      <c r="D397" s="59">
        <v>10</v>
      </c>
      <c r="E397" s="59">
        <v>3.33</v>
      </c>
      <c r="F397" s="59">
        <v>80.77</v>
      </c>
      <c r="G397" s="59">
        <v>10</v>
      </c>
      <c r="H397" s="59" t="s">
        <v>149</v>
      </c>
      <c r="I397" s="59">
        <v>30</v>
      </c>
      <c r="J397" s="110">
        <f t="shared" si="10"/>
        <v>3.75</v>
      </c>
      <c r="K397" s="172">
        <v>30</v>
      </c>
      <c r="L397" s="148" t="s">
        <v>512</v>
      </c>
      <c r="M397" s="170"/>
    </row>
    <row r="398" spans="1:13">
      <c r="A398" s="2"/>
      <c r="B398" s="61" t="s">
        <v>672</v>
      </c>
      <c r="C398" s="59">
        <v>333</v>
      </c>
      <c r="D398" s="59">
        <v>7</v>
      </c>
      <c r="E398" s="59">
        <v>1.7</v>
      </c>
      <c r="F398" s="59">
        <v>81</v>
      </c>
      <c r="G398" s="59">
        <v>9</v>
      </c>
      <c r="H398" s="59" t="s">
        <v>149</v>
      </c>
      <c r="I398" s="59">
        <v>55</v>
      </c>
      <c r="J398" s="110">
        <f t="shared" si="10"/>
        <v>6.875</v>
      </c>
      <c r="K398" s="172">
        <v>55</v>
      </c>
      <c r="L398" s="148" t="s">
        <v>512</v>
      </c>
      <c r="M398" s="170"/>
    </row>
    <row r="399" spans="1:13">
      <c r="A399" s="2"/>
      <c r="B399" s="61" t="s">
        <v>732</v>
      </c>
      <c r="C399" s="59">
        <v>385</v>
      </c>
      <c r="D399" s="59">
        <v>9.82</v>
      </c>
      <c r="E399" s="59">
        <v>3.77</v>
      </c>
      <c r="F399" s="59">
        <v>81.22</v>
      </c>
      <c r="G399" s="59">
        <v>7.7</v>
      </c>
      <c r="H399" s="59" t="s">
        <v>101</v>
      </c>
      <c r="I399" s="59">
        <v>52</v>
      </c>
      <c r="J399" s="110">
        <f t="shared" si="10"/>
        <v>6.5</v>
      </c>
      <c r="K399" s="172">
        <v>52</v>
      </c>
      <c r="L399" s="148" t="s">
        <v>512</v>
      </c>
      <c r="M399" s="170"/>
    </row>
    <row r="400" spans="1:13" ht="13.5" thickBot="1">
      <c r="A400" s="2"/>
      <c r="B400" s="63" t="s">
        <v>673</v>
      </c>
      <c r="C400" s="64">
        <v>333</v>
      </c>
      <c r="D400" s="64">
        <v>6.67</v>
      </c>
      <c r="E400" s="64">
        <v>1.67</v>
      </c>
      <c r="F400" s="64">
        <v>77.180000000000007</v>
      </c>
      <c r="G400" s="64">
        <v>9</v>
      </c>
      <c r="H400" s="64" t="s">
        <v>152</v>
      </c>
      <c r="I400" s="64">
        <v>30</v>
      </c>
      <c r="J400" s="112">
        <f t="shared" si="10"/>
        <v>9.9</v>
      </c>
      <c r="K400" s="173">
        <v>40</v>
      </c>
      <c r="L400" s="174" t="s">
        <v>512</v>
      </c>
      <c r="M400" s="170"/>
    </row>
    <row r="401" spans="1:13" ht="14.25" thickTop="1" thickBot="1">
      <c r="A401" s="2"/>
      <c r="B401" s="2"/>
      <c r="C401" s="2"/>
      <c r="D401" s="2"/>
      <c r="E401" s="2"/>
      <c r="F401" s="2"/>
      <c r="G401" s="2"/>
      <c r="H401" s="2"/>
      <c r="I401" s="2"/>
      <c r="K401" s="2"/>
      <c r="M401" s="170"/>
    </row>
    <row r="402" spans="1:13" ht="18.75" thickTop="1">
      <c r="A402" s="2"/>
      <c r="B402" s="66" t="s">
        <v>42</v>
      </c>
      <c r="C402" s="67" t="s">
        <v>1474</v>
      </c>
      <c r="D402" s="68" t="s">
        <v>99</v>
      </c>
      <c r="E402" s="67" t="s">
        <v>1475</v>
      </c>
      <c r="F402" s="67" t="s">
        <v>1476</v>
      </c>
      <c r="G402" s="67" t="s">
        <v>1477</v>
      </c>
      <c r="H402" s="68" t="s">
        <v>918</v>
      </c>
      <c r="I402" s="68" t="s">
        <v>919</v>
      </c>
      <c r="J402" s="67" t="s">
        <v>467</v>
      </c>
      <c r="K402" s="67" t="s">
        <v>203</v>
      </c>
      <c r="L402" s="69"/>
      <c r="M402" s="170"/>
    </row>
    <row r="403" spans="1:13">
      <c r="A403" s="2"/>
      <c r="B403" s="61" t="s">
        <v>746</v>
      </c>
      <c r="C403" s="59">
        <v>265</v>
      </c>
      <c r="D403" s="59">
        <v>13.36</v>
      </c>
      <c r="E403" s="59">
        <v>4.2300000000000004</v>
      </c>
      <c r="F403" s="59">
        <v>43.34</v>
      </c>
      <c r="G403" s="59">
        <v>7.4</v>
      </c>
      <c r="H403" s="101" t="s">
        <v>1452</v>
      </c>
      <c r="I403" s="101">
        <v>26</v>
      </c>
      <c r="J403" s="109">
        <f t="shared" ref="J403:J445" si="11">I403*VLOOKUP(H403,Fractional,2,FALSE)</f>
        <v>13</v>
      </c>
      <c r="K403" s="101">
        <v>26</v>
      </c>
      <c r="L403" s="143" t="s">
        <v>561</v>
      </c>
      <c r="M403" s="170"/>
    </row>
    <row r="404" spans="1:13">
      <c r="A404" s="2"/>
      <c r="B404" s="61" t="s">
        <v>220</v>
      </c>
      <c r="C404" s="59">
        <v>266</v>
      </c>
      <c r="D404" s="59">
        <v>9.8000000000000007</v>
      </c>
      <c r="E404" s="59">
        <v>2.6</v>
      </c>
      <c r="F404" s="59">
        <v>55</v>
      </c>
      <c r="G404" s="59">
        <v>7.4</v>
      </c>
      <c r="H404" s="59" t="s">
        <v>1153</v>
      </c>
      <c r="I404" s="59">
        <v>64</v>
      </c>
      <c r="J404" s="109">
        <f t="shared" si="11"/>
        <v>32</v>
      </c>
      <c r="K404" s="59">
        <v>64</v>
      </c>
      <c r="L404" s="142" t="s">
        <v>1439</v>
      </c>
      <c r="M404" s="170"/>
    </row>
    <row r="405" spans="1:13">
      <c r="A405" s="2"/>
      <c r="B405" s="61" t="s">
        <v>221</v>
      </c>
      <c r="C405" s="59">
        <v>258</v>
      </c>
      <c r="D405" s="59">
        <v>8.5</v>
      </c>
      <c r="E405" s="59">
        <v>3.3</v>
      </c>
      <c r="F405" s="59">
        <v>48.3</v>
      </c>
      <c r="G405" s="59">
        <v>5.8</v>
      </c>
      <c r="H405" s="59" t="s">
        <v>1452</v>
      </c>
      <c r="I405" s="59">
        <v>32</v>
      </c>
      <c r="J405" s="109">
        <f t="shared" si="11"/>
        <v>16</v>
      </c>
      <c r="K405" s="59">
        <v>32</v>
      </c>
      <c r="L405" s="142" t="s">
        <v>561</v>
      </c>
      <c r="M405" s="170"/>
    </row>
    <row r="406" spans="1:13">
      <c r="A406" s="2"/>
      <c r="B406" s="61" t="s">
        <v>747</v>
      </c>
      <c r="C406" s="59">
        <v>235</v>
      </c>
      <c r="D406" s="59">
        <v>9.1</v>
      </c>
      <c r="E406" s="59">
        <v>1.8</v>
      </c>
      <c r="F406" s="59">
        <v>46.3</v>
      </c>
      <c r="G406" s="59">
        <v>2.8</v>
      </c>
      <c r="H406" s="59" t="s">
        <v>1062</v>
      </c>
      <c r="I406" s="59">
        <v>66</v>
      </c>
      <c r="J406" s="109">
        <f t="shared" si="11"/>
        <v>33</v>
      </c>
      <c r="K406" s="59">
        <v>66</v>
      </c>
      <c r="L406" s="142" t="s">
        <v>566</v>
      </c>
      <c r="M406" s="170"/>
    </row>
    <row r="407" spans="1:13">
      <c r="A407" s="2"/>
      <c r="B407" s="61" t="s">
        <v>1045</v>
      </c>
      <c r="C407" s="59">
        <v>273</v>
      </c>
      <c r="D407" s="59">
        <v>9.8000000000000007</v>
      </c>
      <c r="E407" s="59">
        <v>1.7</v>
      </c>
      <c r="F407" s="59">
        <v>55.2</v>
      </c>
      <c r="G407" s="59">
        <v>2.2999999999999998</v>
      </c>
      <c r="H407" s="59" t="s">
        <v>939</v>
      </c>
      <c r="I407" s="59">
        <v>57</v>
      </c>
      <c r="J407" s="109">
        <f t="shared" si="11"/>
        <v>28.5</v>
      </c>
      <c r="K407" s="59">
        <v>57</v>
      </c>
      <c r="L407" s="142" t="s">
        <v>567</v>
      </c>
      <c r="M407" s="170"/>
    </row>
    <row r="408" spans="1:13">
      <c r="A408" s="2"/>
      <c r="B408" s="61" t="s">
        <v>1044</v>
      </c>
      <c r="C408" s="59">
        <v>278</v>
      </c>
      <c r="D408" s="59">
        <v>10.6</v>
      </c>
      <c r="E408" s="59">
        <v>2.1</v>
      </c>
      <c r="F408" s="59">
        <v>53</v>
      </c>
      <c r="G408" s="59">
        <v>2.2999999999999998</v>
      </c>
      <c r="H408" s="59" t="s">
        <v>939</v>
      </c>
      <c r="I408" s="59">
        <v>69</v>
      </c>
      <c r="J408" s="109">
        <f t="shared" si="11"/>
        <v>34.5</v>
      </c>
      <c r="K408" s="59">
        <v>69</v>
      </c>
      <c r="L408" s="142" t="s">
        <v>567</v>
      </c>
      <c r="M408" s="170"/>
    </row>
    <row r="409" spans="1:13">
      <c r="A409" s="2"/>
      <c r="B409" s="61" t="s">
        <v>1046</v>
      </c>
      <c r="C409" s="59">
        <v>255</v>
      </c>
      <c r="D409" s="59">
        <v>10.7</v>
      </c>
      <c r="E409" s="59">
        <v>1.2</v>
      </c>
      <c r="F409" s="59">
        <v>53.3</v>
      </c>
      <c r="G409" s="59">
        <v>3.6</v>
      </c>
      <c r="H409" s="59" t="s">
        <v>939</v>
      </c>
      <c r="I409" s="59">
        <v>57</v>
      </c>
      <c r="J409" s="109">
        <f t="shared" si="11"/>
        <v>28.5</v>
      </c>
      <c r="K409" s="59">
        <v>57</v>
      </c>
      <c r="L409" s="142" t="s">
        <v>567</v>
      </c>
      <c r="M409" s="170"/>
    </row>
    <row r="410" spans="1:13">
      <c r="A410" s="2"/>
      <c r="B410" s="61" t="s">
        <v>748</v>
      </c>
      <c r="C410" s="59">
        <v>275</v>
      </c>
      <c r="D410" s="59">
        <v>10.5</v>
      </c>
      <c r="E410" s="59">
        <v>1.6</v>
      </c>
      <c r="F410" s="59">
        <v>53.4</v>
      </c>
      <c r="G410" s="59">
        <v>2.2999999999999998</v>
      </c>
      <c r="H410" s="59" t="s">
        <v>939</v>
      </c>
      <c r="I410" s="59">
        <v>69</v>
      </c>
      <c r="J410" s="109">
        <f t="shared" si="11"/>
        <v>34.5</v>
      </c>
      <c r="K410" s="59">
        <v>69</v>
      </c>
      <c r="L410" s="142" t="s">
        <v>567</v>
      </c>
      <c r="M410" s="170"/>
    </row>
    <row r="411" spans="1:13">
      <c r="A411" s="2"/>
      <c r="B411" s="61" t="s">
        <v>749</v>
      </c>
      <c r="C411" s="59">
        <v>263</v>
      </c>
      <c r="D411" s="59">
        <v>6.1</v>
      </c>
      <c r="E411" s="59">
        <v>5.6</v>
      </c>
      <c r="F411" s="59">
        <v>47.4</v>
      </c>
      <c r="G411" s="62"/>
      <c r="H411" s="59" t="s">
        <v>1458</v>
      </c>
      <c r="I411" s="59">
        <v>44</v>
      </c>
      <c r="J411" s="109">
        <f t="shared" si="11"/>
        <v>22</v>
      </c>
      <c r="K411" s="59">
        <v>44</v>
      </c>
      <c r="L411" s="142" t="s">
        <v>568</v>
      </c>
      <c r="M411" s="170"/>
    </row>
    <row r="412" spans="1:13">
      <c r="A412" s="2"/>
      <c r="B412" s="61" t="s">
        <v>750</v>
      </c>
      <c r="C412" s="59">
        <v>365</v>
      </c>
      <c r="D412" s="59">
        <v>6.2</v>
      </c>
      <c r="E412" s="59">
        <v>16.5</v>
      </c>
      <c r="F412" s="59">
        <v>48.5</v>
      </c>
      <c r="G412" s="59">
        <v>1.3</v>
      </c>
      <c r="H412" s="59" t="s">
        <v>1458</v>
      </c>
      <c r="I412" s="59">
        <v>35</v>
      </c>
      <c r="J412" s="109">
        <f t="shared" si="11"/>
        <v>17.5</v>
      </c>
      <c r="K412" s="59">
        <v>35</v>
      </c>
      <c r="L412" s="142" t="s">
        <v>568</v>
      </c>
      <c r="M412" s="170"/>
    </row>
    <row r="413" spans="1:13">
      <c r="A413" s="2"/>
      <c r="B413" s="61" t="s">
        <v>751</v>
      </c>
      <c r="C413" s="59">
        <v>395</v>
      </c>
      <c r="D413" s="59">
        <v>13.35</v>
      </c>
      <c r="E413" s="59">
        <v>5.3</v>
      </c>
      <c r="F413" s="59">
        <v>71.98</v>
      </c>
      <c r="G413" s="59">
        <v>4.5</v>
      </c>
      <c r="H413" s="59" t="s">
        <v>101</v>
      </c>
      <c r="I413" s="59">
        <v>108</v>
      </c>
      <c r="J413" s="109">
        <f t="shared" si="11"/>
        <v>13.5</v>
      </c>
      <c r="K413" s="59">
        <v>108</v>
      </c>
      <c r="L413" s="142" t="s">
        <v>512</v>
      </c>
      <c r="M413" s="170"/>
    </row>
    <row r="414" spans="1:13">
      <c r="A414" s="2"/>
      <c r="B414" s="61" t="s">
        <v>1161</v>
      </c>
      <c r="C414" s="59">
        <v>412</v>
      </c>
      <c r="D414" s="59">
        <v>12</v>
      </c>
      <c r="E414" s="59">
        <v>9.5</v>
      </c>
      <c r="F414" s="59">
        <v>68.400000000000006</v>
      </c>
      <c r="G414" s="59">
        <v>3</v>
      </c>
      <c r="H414" s="59" t="s">
        <v>1454</v>
      </c>
      <c r="I414" s="59">
        <v>5</v>
      </c>
      <c r="J414" s="109">
        <f t="shared" si="11"/>
        <v>2.5</v>
      </c>
      <c r="K414" s="59">
        <v>5</v>
      </c>
      <c r="L414" s="142" t="s">
        <v>569</v>
      </c>
      <c r="M414" s="170"/>
    </row>
    <row r="415" spans="1:13">
      <c r="A415" s="2"/>
      <c r="B415" s="61" t="s">
        <v>752</v>
      </c>
      <c r="C415" s="59">
        <v>289</v>
      </c>
      <c r="D415" s="59">
        <v>11.75</v>
      </c>
      <c r="E415" s="59">
        <v>1.83</v>
      </c>
      <c r="F415" s="59">
        <v>56.44</v>
      </c>
      <c r="G415" s="59">
        <v>2.4</v>
      </c>
      <c r="H415" s="59" t="s">
        <v>1452</v>
      </c>
      <c r="I415" s="59">
        <v>64</v>
      </c>
      <c r="J415" s="109">
        <f t="shared" si="11"/>
        <v>32</v>
      </c>
      <c r="K415" s="59">
        <v>64</v>
      </c>
      <c r="L415" s="142" t="s">
        <v>561</v>
      </c>
      <c r="M415" s="170"/>
    </row>
    <row r="416" spans="1:13">
      <c r="A416" s="2"/>
      <c r="B416" s="61" t="s">
        <v>753</v>
      </c>
      <c r="C416" s="59">
        <v>326</v>
      </c>
      <c r="D416" s="59">
        <v>4.3</v>
      </c>
      <c r="E416" s="59">
        <v>10.5</v>
      </c>
      <c r="F416" s="59">
        <v>54.6</v>
      </c>
      <c r="G416" s="59">
        <v>1.1000000000000001</v>
      </c>
      <c r="H416" s="59" t="s">
        <v>104</v>
      </c>
      <c r="I416" s="59">
        <v>28</v>
      </c>
      <c r="J416" s="109">
        <f t="shared" si="11"/>
        <v>14</v>
      </c>
      <c r="K416" s="59">
        <v>28</v>
      </c>
      <c r="L416" s="142" t="s">
        <v>537</v>
      </c>
      <c r="M416" s="170"/>
    </row>
    <row r="417" spans="1:13">
      <c r="A417" s="2"/>
      <c r="B417" s="61" t="s">
        <v>754</v>
      </c>
      <c r="C417" s="59">
        <v>266</v>
      </c>
      <c r="D417" s="59">
        <v>6.7</v>
      </c>
      <c r="E417" s="59">
        <v>7.1</v>
      </c>
      <c r="F417" s="59">
        <v>43.5</v>
      </c>
      <c r="G417" s="62"/>
      <c r="H417" s="59" t="s">
        <v>104</v>
      </c>
      <c r="I417" s="59">
        <v>28</v>
      </c>
      <c r="J417" s="109">
        <f t="shared" si="11"/>
        <v>14</v>
      </c>
      <c r="K417" s="59">
        <v>28</v>
      </c>
      <c r="L417" s="142" t="s">
        <v>537</v>
      </c>
      <c r="M417" s="170"/>
    </row>
    <row r="418" spans="1:13">
      <c r="A418" s="2"/>
      <c r="B418" s="61" t="s">
        <v>1147</v>
      </c>
      <c r="C418" s="59">
        <v>260</v>
      </c>
      <c r="D418" s="59">
        <v>8.6999999999999993</v>
      </c>
      <c r="E418" s="59">
        <v>3.9</v>
      </c>
      <c r="F418" s="59">
        <v>49.5</v>
      </c>
      <c r="G418" s="59">
        <v>5.5</v>
      </c>
      <c r="H418" s="59" t="s">
        <v>105</v>
      </c>
      <c r="I418" s="59">
        <v>3</v>
      </c>
      <c r="J418" s="109">
        <f t="shared" si="11"/>
        <v>1.5</v>
      </c>
      <c r="K418" s="59">
        <v>3</v>
      </c>
      <c r="L418" s="142" t="s">
        <v>205</v>
      </c>
      <c r="M418" s="170"/>
    </row>
    <row r="419" spans="1:13">
      <c r="A419" s="2"/>
      <c r="B419" s="61" t="s">
        <v>1148</v>
      </c>
      <c r="C419" s="59">
        <v>283</v>
      </c>
      <c r="D419" s="59">
        <v>9.5</v>
      </c>
      <c r="E419" s="59">
        <v>6</v>
      </c>
      <c r="F419" s="59">
        <v>47.8</v>
      </c>
      <c r="G419" s="59">
        <v>2.2999999999999998</v>
      </c>
      <c r="H419" s="59" t="s">
        <v>1452</v>
      </c>
      <c r="I419" s="59">
        <v>40</v>
      </c>
      <c r="J419" s="109">
        <f t="shared" si="11"/>
        <v>20</v>
      </c>
      <c r="K419" s="59">
        <v>40</v>
      </c>
      <c r="L419" s="142" t="s">
        <v>561</v>
      </c>
      <c r="M419" s="170"/>
    </row>
    <row r="420" spans="1:13">
      <c r="A420" s="2"/>
      <c r="B420" s="61" t="s">
        <v>1149</v>
      </c>
      <c r="C420" s="59">
        <v>271</v>
      </c>
      <c r="D420" s="59">
        <v>8.8000000000000007</v>
      </c>
      <c r="E420" s="59">
        <v>3.5</v>
      </c>
      <c r="F420" s="59">
        <v>50</v>
      </c>
      <c r="G420" s="59">
        <v>2.7</v>
      </c>
      <c r="H420" s="59" t="s">
        <v>1452</v>
      </c>
      <c r="I420" s="59">
        <v>30</v>
      </c>
      <c r="J420" s="109">
        <f t="shared" si="11"/>
        <v>15</v>
      </c>
      <c r="K420" s="59">
        <v>30</v>
      </c>
      <c r="L420" s="142" t="s">
        <v>561</v>
      </c>
      <c r="M420" s="170"/>
    </row>
    <row r="421" spans="1:13">
      <c r="A421" s="2"/>
      <c r="B421" s="61" t="s">
        <v>1150</v>
      </c>
      <c r="C421" s="59">
        <v>236</v>
      </c>
      <c r="D421" s="59">
        <v>10.4</v>
      </c>
      <c r="E421" s="59">
        <v>4.4000000000000004</v>
      </c>
      <c r="F421" s="59">
        <v>39.799999999999997</v>
      </c>
      <c r="G421" s="59">
        <v>4.5</v>
      </c>
      <c r="H421" s="59" t="s">
        <v>1452</v>
      </c>
      <c r="I421" s="59">
        <v>30</v>
      </c>
      <c r="J421" s="109">
        <f t="shared" si="11"/>
        <v>15</v>
      </c>
      <c r="K421" s="59">
        <v>30</v>
      </c>
      <c r="L421" s="142" t="s">
        <v>561</v>
      </c>
      <c r="M421" s="170"/>
    </row>
    <row r="422" spans="1:13">
      <c r="A422" s="2"/>
      <c r="B422" s="61" t="s">
        <v>1151</v>
      </c>
      <c r="C422" s="59">
        <v>269</v>
      </c>
      <c r="D422" s="59">
        <v>8.4</v>
      </c>
      <c r="E422" s="59">
        <v>4.4000000000000004</v>
      </c>
      <c r="F422" s="59">
        <v>48.5</v>
      </c>
      <c r="G422" s="59">
        <v>4</v>
      </c>
      <c r="H422" s="59" t="s">
        <v>1452</v>
      </c>
      <c r="I422" s="59">
        <v>27</v>
      </c>
      <c r="J422" s="109">
        <f t="shared" si="11"/>
        <v>13.5</v>
      </c>
      <c r="K422" s="59">
        <v>27</v>
      </c>
      <c r="L422" s="142" t="s">
        <v>561</v>
      </c>
      <c r="M422" s="170"/>
    </row>
    <row r="423" spans="1:13">
      <c r="A423" s="2"/>
      <c r="B423" s="61" t="s">
        <v>1152</v>
      </c>
      <c r="C423" s="59">
        <v>275</v>
      </c>
      <c r="D423" s="59">
        <v>9.1</v>
      </c>
      <c r="E423" s="59">
        <v>1.2</v>
      </c>
      <c r="F423" s="59">
        <v>55.7</v>
      </c>
      <c r="G423" s="59">
        <v>2.2000000000000002</v>
      </c>
      <c r="H423" s="59" t="s">
        <v>1153</v>
      </c>
      <c r="I423" s="59">
        <v>60</v>
      </c>
      <c r="J423" s="109">
        <f t="shared" si="11"/>
        <v>30</v>
      </c>
      <c r="K423" s="59">
        <v>60</v>
      </c>
      <c r="L423" s="142" t="s">
        <v>1439</v>
      </c>
      <c r="M423" s="170"/>
    </row>
    <row r="424" spans="1:13">
      <c r="A424" s="2"/>
      <c r="B424" s="61" t="s">
        <v>1182</v>
      </c>
      <c r="C424" s="59">
        <v>275</v>
      </c>
      <c r="D424" s="59">
        <v>9.1</v>
      </c>
      <c r="E424" s="59">
        <v>1.2</v>
      </c>
      <c r="F424" s="59">
        <v>55.7</v>
      </c>
      <c r="G424" s="59">
        <v>2.2000000000000002</v>
      </c>
      <c r="H424" s="59" t="s">
        <v>1153</v>
      </c>
      <c r="I424" s="59">
        <v>60</v>
      </c>
      <c r="J424" s="109">
        <f t="shared" si="11"/>
        <v>30</v>
      </c>
      <c r="K424" s="59">
        <v>60</v>
      </c>
      <c r="L424" s="142" t="s">
        <v>1439</v>
      </c>
      <c r="M424" s="170"/>
    </row>
    <row r="425" spans="1:13">
      <c r="A425" s="2"/>
      <c r="B425" s="61" t="s">
        <v>1154</v>
      </c>
      <c r="C425" s="59">
        <v>250</v>
      </c>
      <c r="D425" s="59">
        <v>8.6999999999999993</v>
      </c>
      <c r="E425" s="59">
        <v>3.1</v>
      </c>
      <c r="F425" s="59">
        <v>47.5</v>
      </c>
      <c r="G425" s="59">
        <v>6.5</v>
      </c>
      <c r="H425" s="59" t="s">
        <v>1452</v>
      </c>
      <c r="I425" s="59">
        <v>26</v>
      </c>
      <c r="J425" s="109">
        <f t="shared" si="11"/>
        <v>13</v>
      </c>
      <c r="K425" s="59">
        <v>26</v>
      </c>
      <c r="L425" s="142" t="s">
        <v>561</v>
      </c>
      <c r="M425" s="170"/>
    </row>
    <row r="426" spans="1:13">
      <c r="A426" s="2"/>
      <c r="B426" s="61" t="s">
        <v>1155</v>
      </c>
      <c r="C426" s="59">
        <v>274</v>
      </c>
      <c r="D426" s="59">
        <v>7.9</v>
      </c>
      <c r="E426" s="59">
        <v>4.4000000000000004</v>
      </c>
      <c r="F426" s="59">
        <v>52.3</v>
      </c>
      <c r="G426" s="59">
        <v>4.3</v>
      </c>
      <c r="H426" s="59" t="s">
        <v>1452</v>
      </c>
      <c r="I426" s="59">
        <v>32</v>
      </c>
      <c r="J426" s="109">
        <f t="shared" si="11"/>
        <v>16</v>
      </c>
      <c r="K426" s="59">
        <v>32</v>
      </c>
      <c r="L426" s="142" t="s">
        <v>561</v>
      </c>
      <c r="M426" s="170"/>
    </row>
    <row r="427" spans="1:13">
      <c r="A427" s="2"/>
      <c r="B427" s="61" t="s">
        <v>1183</v>
      </c>
      <c r="C427" s="59">
        <v>274</v>
      </c>
      <c r="D427" s="59">
        <v>7.9</v>
      </c>
      <c r="E427" s="59">
        <v>4.4000000000000004</v>
      </c>
      <c r="F427" s="59">
        <v>52.3</v>
      </c>
      <c r="G427" s="59">
        <v>4.3</v>
      </c>
      <c r="H427" s="59" t="s">
        <v>1452</v>
      </c>
      <c r="I427" s="59">
        <v>32</v>
      </c>
      <c r="J427" s="109">
        <f t="shared" si="11"/>
        <v>16</v>
      </c>
      <c r="K427" s="59">
        <v>32</v>
      </c>
      <c r="L427" s="142" t="s">
        <v>561</v>
      </c>
      <c r="M427" s="170"/>
    </row>
    <row r="428" spans="1:13">
      <c r="A428" s="2"/>
      <c r="B428" s="61" t="s">
        <v>1156</v>
      </c>
      <c r="C428" s="59">
        <v>243</v>
      </c>
      <c r="D428" s="59">
        <v>8.9</v>
      </c>
      <c r="E428" s="59">
        <v>4.5999999999999996</v>
      </c>
      <c r="F428" s="59">
        <v>43.5</v>
      </c>
      <c r="G428" s="59">
        <v>4.9000000000000004</v>
      </c>
      <c r="H428" s="59" t="s">
        <v>1452</v>
      </c>
      <c r="I428" s="59">
        <v>27</v>
      </c>
      <c r="J428" s="109">
        <f t="shared" si="11"/>
        <v>13.5</v>
      </c>
      <c r="K428" s="59">
        <v>27</v>
      </c>
      <c r="L428" s="142" t="s">
        <v>561</v>
      </c>
      <c r="M428" s="170"/>
    </row>
    <row r="429" spans="1:13">
      <c r="A429" s="2"/>
      <c r="B429" s="61" t="s">
        <v>1157</v>
      </c>
      <c r="C429" s="59">
        <v>266</v>
      </c>
      <c r="D429" s="59">
        <v>10.91</v>
      </c>
      <c r="E429" s="59">
        <v>3.64</v>
      </c>
      <c r="F429" s="59">
        <v>47.51</v>
      </c>
      <c r="G429" s="59">
        <v>3.6</v>
      </c>
      <c r="H429" s="59" t="s">
        <v>1452</v>
      </c>
      <c r="I429" s="59">
        <v>25</v>
      </c>
      <c r="J429" s="109">
        <f t="shared" si="11"/>
        <v>12.5</v>
      </c>
      <c r="K429" s="59">
        <v>25</v>
      </c>
      <c r="L429" s="142" t="s">
        <v>561</v>
      </c>
      <c r="M429" s="170"/>
    </row>
    <row r="430" spans="1:13">
      <c r="A430" s="2"/>
      <c r="B430" s="61" t="s">
        <v>1158</v>
      </c>
      <c r="C430" s="59">
        <v>248</v>
      </c>
      <c r="D430" s="59">
        <v>8.8000000000000007</v>
      </c>
      <c r="E430" s="59">
        <v>3.4</v>
      </c>
      <c r="F430" s="59">
        <v>47.8</v>
      </c>
      <c r="G430" s="59">
        <v>4</v>
      </c>
      <c r="H430" s="59" t="s">
        <v>1452</v>
      </c>
      <c r="I430" s="59">
        <v>36</v>
      </c>
      <c r="J430" s="109">
        <f t="shared" si="11"/>
        <v>18</v>
      </c>
      <c r="K430" s="59">
        <v>36</v>
      </c>
      <c r="L430" s="142" t="s">
        <v>561</v>
      </c>
      <c r="M430" s="170"/>
    </row>
    <row r="431" spans="1:13">
      <c r="A431" s="2"/>
      <c r="B431" s="61" t="s">
        <v>1159</v>
      </c>
      <c r="C431" s="59">
        <v>261</v>
      </c>
      <c r="D431" s="59">
        <v>9.6</v>
      </c>
      <c r="E431" s="59">
        <v>2.9</v>
      </c>
      <c r="F431" s="59">
        <v>48.3</v>
      </c>
      <c r="G431" s="59">
        <v>2.1</v>
      </c>
      <c r="H431" s="59" t="s">
        <v>1452</v>
      </c>
      <c r="I431" s="59">
        <v>28</v>
      </c>
      <c r="J431" s="109">
        <f t="shared" si="11"/>
        <v>14</v>
      </c>
      <c r="K431" s="59">
        <v>28</v>
      </c>
      <c r="L431" s="142" t="s">
        <v>561</v>
      </c>
      <c r="M431" s="170"/>
    </row>
    <row r="432" spans="1:13">
      <c r="A432" s="2"/>
      <c r="B432" s="61" t="s">
        <v>755</v>
      </c>
      <c r="C432" s="59">
        <v>266</v>
      </c>
      <c r="D432" s="59">
        <v>7.64</v>
      </c>
      <c r="E432" s="59">
        <v>3.29</v>
      </c>
      <c r="F432" s="59">
        <v>50.61</v>
      </c>
      <c r="G432" s="59">
        <v>2.4</v>
      </c>
      <c r="H432" s="59" t="s">
        <v>1160</v>
      </c>
      <c r="I432" s="59">
        <v>45</v>
      </c>
      <c r="J432" s="109">
        <f t="shared" si="11"/>
        <v>5.625</v>
      </c>
      <c r="K432" s="59">
        <v>45</v>
      </c>
      <c r="L432" s="142" t="s">
        <v>512</v>
      </c>
      <c r="M432" s="170"/>
    </row>
    <row r="433" spans="1:13">
      <c r="A433" s="2"/>
      <c r="B433" s="61" t="s">
        <v>756</v>
      </c>
      <c r="C433" s="59">
        <v>285</v>
      </c>
      <c r="D433" s="59">
        <v>7.9</v>
      </c>
      <c r="E433" s="59">
        <v>5.7</v>
      </c>
      <c r="F433" s="59">
        <v>49.6</v>
      </c>
      <c r="G433" s="59">
        <v>2</v>
      </c>
      <c r="H433" s="59" t="s">
        <v>1452</v>
      </c>
      <c r="I433" s="59">
        <v>42</v>
      </c>
      <c r="J433" s="109">
        <f t="shared" si="11"/>
        <v>21</v>
      </c>
      <c r="K433" s="59">
        <v>42</v>
      </c>
      <c r="L433" s="142" t="s">
        <v>561</v>
      </c>
      <c r="M433" s="170"/>
    </row>
    <row r="434" spans="1:13">
      <c r="A434" s="2"/>
      <c r="B434" s="61" t="s">
        <v>757</v>
      </c>
      <c r="C434" s="59">
        <v>247</v>
      </c>
      <c r="D434" s="59">
        <v>12.95</v>
      </c>
      <c r="E434" s="59">
        <v>3.35</v>
      </c>
      <c r="F434" s="59">
        <v>41.29</v>
      </c>
      <c r="G434" s="59">
        <v>6.8</v>
      </c>
      <c r="H434" s="59" t="s">
        <v>1452</v>
      </c>
      <c r="I434" s="59">
        <v>28</v>
      </c>
      <c r="J434" s="109">
        <f t="shared" si="11"/>
        <v>14</v>
      </c>
      <c r="K434" s="59">
        <v>28</v>
      </c>
      <c r="L434" s="142" t="s">
        <v>561</v>
      </c>
      <c r="M434" s="170"/>
    </row>
    <row r="435" spans="1:13">
      <c r="A435" s="2"/>
      <c r="B435" s="61" t="s">
        <v>758</v>
      </c>
      <c r="C435" s="59">
        <v>278</v>
      </c>
      <c r="D435" s="59">
        <v>8.4</v>
      </c>
      <c r="E435" s="59">
        <v>5.4</v>
      </c>
      <c r="F435" s="59">
        <v>51.4</v>
      </c>
      <c r="G435" s="59">
        <v>6</v>
      </c>
      <c r="H435" s="59" t="s">
        <v>1452</v>
      </c>
      <c r="I435" s="59">
        <v>46</v>
      </c>
      <c r="J435" s="109">
        <f t="shared" si="11"/>
        <v>23</v>
      </c>
      <c r="K435" s="59">
        <v>46</v>
      </c>
      <c r="L435" s="142" t="s">
        <v>561</v>
      </c>
      <c r="M435" s="170"/>
    </row>
    <row r="436" spans="1:13">
      <c r="A436" s="2"/>
      <c r="B436" s="61" t="s">
        <v>763</v>
      </c>
      <c r="C436" s="59">
        <v>236</v>
      </c>
      <c r="D436" s="59">
        <v>7.06</v>
      </c>
      <c r="E436" s="59">
        <v>3.56</v>
      </c>
      <c r="F436" s="59">
        <v>44.15</v>
      </c>
      <c r="G436" s="59">
        <v>1</v>
      </c>
      <c r="H436" s="59" t="s">
        <v>940</v>
      </c>
      <c r="I436" s="59">
        <v>35</v>
      </c>
      <c r="J436" s="109">
        <f t="shared" si="11"/>
        <v>17.5</v>
      </c>
      <c r="K436" s="59">
        <v>35</v>
      </c>
      <c r="L436" s="142" t="s">
        <v>570</v>
      </c>
      <c r="M436" s="170"/>
    </row>
    <row r="437" spans="1:13">
      <c r="A437" s="2"/>
      <c r="B437" s="61" t="s">
        <v>764</v>
      </c>
      <c r="C437" s="59">
        <v>203</v>
      </c>
      <c r="D437" s="59">
        <v>6.28</v>
      </c>
      <c r="E437" s="59">
        <v>3.2</v>
      </c>
      <c r="F437" s="59">
        <v>40.270000000000003</v>
      </c>
      <c r="G437" s="59">
        <v>3.7</v>
      </c>
      <c r="H437" s="59" t="s">
        <v>941</v>
      </c>
      <c r="I437" s="59">
        <v>35</v>
      </c>
      <c r="J437" s="109">
        <f t="shared" si="11"/>
        <v>17.5</v>
      </c>
      <c r="K437" s="59">
        <v>35</v>
      </c>
      <c r="L437" s="142" t="s">
        <v>571</v>
      </c>
      <c r="M437" s="170"/>
    </row>
    <row r="438" spans="1:13">
      <c r="A438" s="2"/>
      <c r="B438" s="61" t="s">
        <v>762</v>
      </c>
      <c r="C438" s="59">
        <v>233</v>
      </c>
      <c r="D438" s="59">
        <v>6</v>
      </c>
      <c r="E438" s="59">
        <v>6.69</v>
      </c>
      <c r="F438" s="59">
        <v>38.1</v>
      </c>
      <c r="G438" s="59">
        <v>1.1000000000000001</v>
      </c>
      <c r="H438" s="59" t="s">
        <v>942</v>
      </c>
      <c r="I438" s="59">
        <v>38</v>
      </c>
      <c r="J438" s="110">
        <f t="shared" si="11"/>
        <v>19</v>
      </c>
      <c r="K438" s="59">
        <v>38</v>
      </c>
      <c r="L438" s="142" t="s">
        <v>572</v>
      </c>
      <c r="M438" s="170"/>
    </row>
    <row r="439" spans="1:13">
      <c r="A439" s="2"/>
      <c r="B439" s="61" t="s">
        <v>759</v>
      </c>
      <c r="C439" s="59">
        <v>227</v>
      </c>
      <c r="D439" s="59">
        <v>8.8699999999999992</v>
      </c>
      <c r="E439" s="59">
        <v>1.69</v>
      </c>
      <c r="F439" s="59">
        <v>44.17</v>
      </c>
      <c r="G439" s="59">
        <v>3.5</v>
      </c>
      <c r="H439" s="59" t="s">
        <v>1062</v>
      </c>
      <c r="I439" s="59">
        <v>57</v>
      </c>
      <c r="J439" s="109">
        <f t="shared" si="11"/>
        <v>28.5</v>
      </c>
      <c r="K439" s="59">
        <v>57</v>
      </c>
      <c r="L439" s="142" t="s">
        <v>566</v>
      </c>
      <c r="M439" s="170"/>
    </row>
    <row r="440" spans="1:13">
      <c r="A440" s="2"/>
      <c r="B440" s="61" t="s">
        <v>760</v>
      </c>
      <c r="C440" s="59">
        <v>240</v>
      </c>
      <c r="D440" s="59">
        <v>7.91</v>
      </c>
      <c r="E440" s="59">
        <v>1.8</v>
      </c>
      <c r="F440" s="59">
        <v>48.1</v>
      </c>
      <c r="G440" s="59">
        <v>2.6</v>
      </c>
      <c r="H440" s="59" t="s">
        <v>1062</v>
      </c>
      <c r="I440" s="59">
        <v>57</v>
      </c>
      <c r="J440" s="109">
        <f t="shared" si="11"/>
        <v>28.5</v>
      </c>
      <c r="K440" s="59">
        <v>57</v>
      </c>
      <c r="L440" s="142" t="s">
        <v>566</v>
      </c>
      <c r="M440" s="170"/>
    </row>
    <row r="441" spans="1:13">
      <c r="A441" s="2"/>
      <c r="B441" s="61" t="s">
        <v>1063</v>
      </c>
      <c r="C441" s="59">
        <v>223</v>
      </c>
      <c r="D441" s="59">
        <v>8.6999999999999993</v>
      </c>
      <c r="E441" s="59">
        <v>2</v>
      </c>
      <c r="F441" s="59">
        <v>44.8</v>
      </c>
      <c r="G441" s="59">
        <v>4.5999999999999996</v>
      </c>
      <c r="H441" s="59" t="s">
        <v>1062</v>
      </c>
      <c r="I441" s="59">
        <v>57</v>
      </c>
      <c r="J441" s="109">
        <f t="shared" si="11"/>
        <v>28.5</v>
      </c>
      <c r="K441" s="59">
        <v>57</v>
      </c>
      <c r="L441" s="142" t="s">
        <v>566</v>
      </c>
      <c r="M441" s="170"/>
    </row>
    <row r="442" spans="1:13">
      <c r="A442" s="2"/>
      <c r="B442" s="61" t="s">
        <v>761</v>
      </c>
      <c r="C442" s="59">
        <v>229</v>
      </c>
      <c r="D442" s="59">
        <v>7.7</v>
      </c>
      <c r="E442" s="59">
        <v>10.8</v>
      </c>
      <c r="F442" s="59">
        <v>25</v>
      </c>
      <c r="G442" s="62"/>
      <c r="H442" s="59" t="s">
        <v>1452</v>
      </c>
      <c r="I442" s="59">
        <v>65</v>
      </c>
      <c r="J442" s="109">
        <f t="shared" si="11"/>
        <v>32.5</v>
      </c>
      <c r="K442" s="59">
        <v>65</v>
      </c>
      <c r="L442" s="142" t="s">
        <v>561</v>
      </c>
      <c r="M442" s="170"/>
    </row>
    <row r="443" spans="1:13">
      <c r="A443" s="2"/>
      <c r="B443" s="61" t="s">
        <v>1064</v>
      </c>
      <c r="C443" s="59">
        <v>227</v>
      </c>
      <c r="D443" s="59">
        <v>6.4</v>
      </c>
      <c r="E443" s="59">
        <v>9.6999999999999993</v>
      </c>
      <c r="F443" s="59">
        <v>28.3</v>
      </c>
      <c r="G443" s="62"/>
      <c r="H443" s="59" t="s">
        <v>942</v>
      </c>
      <c r="I443" s="59">
        <v>38</v>
      </c>
      <c r="J443" s="109">
        <f t="shared" si="11"/>
        <v>19</v>
      </c>
      <c r="K443" s="59">
        <v>38</v>
      </c>
      <c r="L443" s="142" t="s">
        <v>572</v>
      </c>
      <c r="M443" s="170"/>
    </row>
    <row r="444" spans="1:13">
      <c r="A444" s="2"/>
      <c r="B444" s="61" t="s">
        <v>765</v>
      </c>
      <c r="C444" s="59">
        <v>394</v>
      </c>
      <c r="D444" s="59">
        <v>4.7</v>
      </c>
      <c r="E444" s="59">
        <v>10.5</v>
      </c>
      <c r="F444" s="59">
        <v>71</v>
      </c>
      <c r="G444" s="59">
        <v>1.1000000000000001</v>
      </c>
      <c r="H444" s="59" t="s">
        <v>1180</v>
      </c>
      <c r="I444" s="59">
        <v>52</v>
      </c>
      <c r="J444" s="110">
        <f t="shared" si="11"/>
        <v>26</v>
      </c>
      <c r="K444" s="59">
        <v>52</v>
      </c>
      <c r="L444" s="142" t="s">
        <v>573</v>
      </c>
      <c r="M444" s="170"/>
    </row>
    <row r="445" spans="1:13" ht="13.5" thickBot="1">
      <c r="A445" s="2"/>
      <c r="B445" s="63" t="s">
        <v>1213</v>
      </c>
      <c r="C445" s="64">
        <v>273</v>
      </c>
      <c r="D445" s="64">
        <v>6.58</v>
      </c>
      <c r="E445" s="64">
        <v>9.2200000000000006</v>
      </c>
      <c r="F445" s="64">
        <v>41.05</v>
      </c>
      <c r="G445" s="64">
        <v>2.2000000000000002</v>
      </c>
      <c r="H445" s="64" t="s">
        <v>940</v>
      </c>
      <c r="I445" s="64">
        <v>35</v>
      </c>
      <c r="J445" s="112">
        <f t="shared" si="11"/>
        <v>17.5</v>
      </c>
      <c r="K445" s="64">
        <v>35</v>
      </c>
      <c r="L445" s="144" t="s">
        <v>570</v>
      </c>
      <c r="M445" s="170"/>
    </row>
    <row r="446" spans="1:13" ht="14.25" thickTop="1" thickBot="1">
      <c r="A446" s="2"/>
      <c r="B446" s="2"/>
      <c r="C446" s="2"/>
      <c r="D446" s="2"/>
      <c r="E446" s="2"/>
      <c r="F446" s="2"/>
      <c r="G446" s="2"/>
      <c r="M446" s="170"/>
    </row>
    <row r="447" spans="1:13" ht="18.75" thickTop="1">
      <c r="B447" s="66" t="s">
        <v>33</v>
      </c>
      <c r="C447" s="67" t="s">
        <v>1474</v>
      </c>
      <c r="D447" s="68" t="s">
        <v>99</v>
      </c>
      <c r="E447" s="67" t="s">
        <v>1475</v>
      </c>
      <c r="F447" s="67" t="s">
        <v>1476</v>
      </c>
      <c r="G447" s="67" t="s">
        <v>1477</v>
      </c>
      <c r="H447" s="68" t="s">
        <v>918</v>
      </c>
      <c r="I447" s="68" t="s">
        <v>919</v>
      </c>
      <c r="J447" s="67" t="s">
        <v>467</v>
      </c>
      <c r="K447" s="67" t="s">
        <v>203</v>
      </c>
      <c r="L447" s="69"/>
      <c r="M447" s="170"/>
    </row>
    <row r="448" spans="1:13">
      <c r="A448" s="2"/>
      <c r="B448" s="61" t="s">
        <v>222</v>
      </c>
      <c r="C448" s="59">
        <v>348</v>
      </c>
      <c r="D448" s="59">
        <v>14.63</v>
      </c>
      <c r="E448" s="59">
        <v>1.4</v>
      </c>
      <c r="F448" s="59">
        <v>75.03</v>
      </c>
      <c r="G448" s="59">
        <v>8.3000000000000007</v>
      </c>
      <c r="H448" s="101" t="s">
        <v>1282</v>
      </c>
      <c r="I448" s="101">
        <v>105</v>
      </c>
      <c r="J448" s="109">
        <f t="shared" ref="J448:J467" si="12">I448*VLOOKUP(H448,Fractional,2,FALSE)</f>
        <v>13.125</v>
      </c>
      <c r="K448" s="171">
        <v>105</v>
      </c>
      <c r="L448" s="143" t="s">
        <v>512</v>
      </c>
      <c r="M448" s="170"/>
    </row>
    <row r="449" spans="1:13">
      <c r="A449" s="2"/>
      <c r="B449" s="61" t="s">
        <v>915</v>
      </c>
      <c r="C449" s="59">
        <v>364</v>
      </c>
      <c r="D449" s="59">
        <v>14</v>
      </c>
      <c r="E449" s="59">
        <v>1.76</v>
      </c>
      <c r="F449" s="59">
        <v>73</v>
      </c>
      <c r="G449" s="59">
        <v>9.5</v>
      </c>
      <c r="H449" s="59" t="s">
        <v>943</v>
      </c>
      <c r="I449" s="59">
        <v>90</v>
      </c>
      <c r="J449" s="109">
        <f t="shared" si="12"/>
        <v>9</v>
      </c>
      <c r="K449" s="172">
        <v>72</v>
      </c>
      <c r="L449" s="148" t="s">
        <v>512</v>
      </c>
      <c r="M449" s="170"/>
    </row>
    <row r="450" spans="1:13">
      <c r="A450" s="2"/>
      <c r="B450" s="61" t="s">
        <v>223</v>
      </c>
      <c r="C450" s="59">
        <v>362</v>
      </c>
      <c r="D450" s="59">
        <v>7.5</v>
      </c>
      <c r="E450" s="59">
        <v>2.68</v>
      </c>
      <c r="F450" s="59">
        <v>76.17</v>
      </c>
      <c r="G450" s="59">
        <v>3.4</v>
      </c>
      <c r="H450" s="59" t="s">
        <v>101</v>
      </c>
      <c r="I450" s="59">
        <v>190</v>
      </c>
      <c r="J450" s="110">
        <f t="shared" si="12"/>
        <v>23.75</v>
      </c>
      <c r="K450" s="172">
        <v>190</v>
      </c>
      <c r="L450" s="142" t="s">
        <v>512</v>
      </c>
      <c r="M450" s="170"/>
    </row>
    <row r="451" spans="1:13">
      <c r="A451" s="2"/>
      <c r="B451" s="61" t="s">
        <v>224</v>
      </c>
      <c r="C451" s="59">
        <v>348</v>
      </c>
      <c r="D451" s="59">
        <v>14.63</v>
      </c>
      <c r="E451" s="59">
        <v>1.4</v>
      </c>
      <c r="F451" s="59">
        <v>75.03</v>
      </c>
      <c r="G451" s="62"/>
      <c r="H451" s="59" t="s">
        <v>114</v>
      </c>
      <c r="I451" s="59">
        <v>57</v>
      </c>
      <c r="J451" s="110">
        <f t="shared" si="12"/>
        <v>14.25</v>
      </c>
      <c r="K451" s="172">
        <v>28.5</v>
      </c>
      <c r="L451" s="148" t="s">
        <v>537</v>
      </c>
      <c r="M451" s="170"/>
    </row>
    <row r="452" spans="1:13">
      <c r="A452" s="2"/>
      <c r="B452" s="61" t="s">
        <v>1281</v>
      </c>
      <c r="C452" s="59">
        <v>371</v>
      </c>
      <c r="D452" s="59">
        <v>13.04</v>
      </c>
      <c r="E452" s="59">
        <v>1.51</v>
      </c>
      <c r="F452" s="59">
        <v>74.67</v>
      </c>
      <c r="G452" s="59">
        <v>3.2</v>
      </c>
      <c r="H452" s="59" t="s">
        <v>1282</v>
      </c>
      <c r="I452" s="59">
        <v>105</v>
      </c>
      <c r="J452" s="109">
        <f t="shared" si="12"/>
        <v>13.125</v>
      </c>
      <c r="K452" s="172">
        <v>105</v>
      </c>
      <c r="L452" s="142" t="s">
        <v>512</v>
      </c>
      <c r="M452" s="170"/>
    </row>
    <row r="453" spans="1:13">
      <c r="A453" s="2"/>
      <c r="B453" s="61" t="s">
        <v>1143</v>
      </c>
      <c r="C453" s="59">
        <v>527</v>
      </c>
      <c r="D453" s="59">
        <v>8.3800000000000008</v>
      </c>
      <c r="E453" s="59">
        <v>30.76</v>
      </c>
      <c r="F453" s="59">
        <v>57.54</v>
      </c>
      <c r="G453" s="59">
        <v>3.9</v>
      </c>
      <c r="H453" s="59" t="s">
        <v>101</v>
      </c>
      <c r="I453" s="59">
        <v>45</v>
      </c>
      <c r="J453" s="109">
        <f t="shared" si="12"/>
        <v>5.625</v>
      </c>
      <c r="K453" s="172">
        <v>45</v>
      </c>
      <c r="L453" s="142" t="s">
        <v>512</v>
      </c>
      <c r="M453" s="170"/>
    </row>
    <row r="454" spans="1:13">
      <c r="A454" s="2"/>
      <c r="B454" s="61" t="s">
        <v>1142</v>
      </c>
      <c r="C454" s="59">
        <v>384</v>
      </c>
      <c r="D454" s="59">
        <v>14.16</v>
      </c>
      <c r="E454" s="59">
        <v>4.4400000000000004</v>
      </c>
      <c r="F454" s="59">
        <v>71.27</v>
      </c>
      <c r="G454" s="59">
        <v>3.3</v>
      </c>
      <c r="H454" s="59" t="s">
        <v>101</v>
      </c>
      <c r="I454" s="59">
        <v>38</v>
      </c>
      <c r="J454" s="109">
        <f t="shared" si="12"/>
        <v>4.75</v>
      </c>
      <c r="K454" s="172">
        <v>38</v>
      </c>
      <c r="L454" s="142" t="s">
        <v>512</v>
      </c>
      <c r="M454" s="170"/>
    </row>
    <row r="455" spans="1:13">
      <c r="A455" s="2"/>
      <c r="B455" s="61" t="s">
        <v>1144</v>
      </c>
      <c r="C455" s="59">
        <v>336</v>
      </c>
      <c r="D455" s="59">
        <v>14.38</v>
      </c>
      <c r="E455" s="59">
        <v>0.71</v>
      </c>
      <c r="F455" s="59">
        <v>74.62</v>
      </c>
      <c r="G455" s="62"/>
      <c r="H455" s="59" t="s">
        <v>114</v>
      </c>
      <c r="I455" s="59">
        <v>57</v>
      </c>
      <c r="J455" s="110">
        <f t="shared" si="12"/>
        <v>14.25</v>
      </c>
      <c r="K455" s="172">
        <v>28.5</v>
      </c>
      <c r="L455" s="148" t="s">
        <v>537</v>
      </c>
      <c r="M455" s="170"/>
    </row>
    <row r="456" spans="1:13">
      <c r="A456" s="2"/>
      <c r="B456" s="61" t="s">
        <v>1145</v>
      </c>
      <c r="C456" s="59">
        <v>356</v>
      </c>
      <c r="D456" s="59">
        <v>11.35</v>
      </c>
      <c r="E456" s="59">
        <v>0.81</v>
      </c>
      <c r="F456" s="59">
        <v>74.099999999999994</v>
      </c>
      <c r="G456" s="59">
        <v>4.3</v>
      </c>
      <c r="H456" s="59" t="s">
        <v>114</v>
      </c>
      <c r="I456" s="59">
        <v>57</v>
      </c>
      <c r="J456" s="110">
        <f t="shared" si="12"/>
        <v>14.25</v>
      </c>
      <c r="K456" s="172">
        <v>28.5</v>
      </c>
      <c r="L456" s="148" t="s">
        <v>537</v>
      </c>
      <c r="M456" s="170"/>
    </row>
    <row r="457" spans="1:13">
      <c r="A457" s="2"/>
      <c r="B457" s="61" t="s">
        <v>1279</v>
      </c>
      <c r="C457" s="59">
        <v>357</v>
      </c>
      <c r="D457" s="59">
        <v>7.46</v>
      </c>
      <c r="E457" s="59">
        <v>2.08</v>
      </c>
      <c r="F457" s="59">
        <v>79.260000000000005</v>
      </c>
      <c r="G457" s="59">
        <v>11</v>
      </c>
      <c r="H457" s="59" t="s">
        <v>101</v>
      </c>
      <c r="I457" s="59">
        <v>105</v>
      </c>
      <c r="J457" s="109">
        <f t="shared" si="12"/>
        <v>13.125</v>
      </c>
      <c r="K457" s="172">
        <v>105</v>
      </c>
      <c r="L457" s="142" t="s">
        <v>512</v>
      </c>
      <c r="M457" s="170"/>
    </row>
    <row r="458" spans="1:13">
      <c r="A458" s="2"/>
      <c r="B458" s="61" t="s">
        <v>766</v>
      </c>
      <c r="C458" s="59">
        <v>288</v>
      </c>
      <c r="D458" s="59">
        <v>11.31</v>
      </c>
      <c r="E458" s="59">
        <v>2.2999999999999998</v>
      </c>
      <c r="F458" s="59">
        <v>54.73</v>
      </c>
      <c r="G458" s="62"/>
      <c r="H458" s="59" t="s">
        <v>1280</v>
      </c>
      <c r="I458" s="59">
        <v>128</v>
      </c>
      <c r="J458" s="110">
        <f t="shared" si="12"/>
        <v>128</v>
      </c>
      <c r="K458" s="172">
        <v>28.444444444444443</v>
      </c>
      <c r="L458" s="148" t="s">
        <v>537</v>
      </c>
      <c r="M458" s="170"/>
    </row>
    <row r="459" spans="1:13">
      <c r="A459" s="2"/>
      <c r="B459" s="61" t="s">
        <v>769</v>
      </c>
      <c r="C459" s="59">
        <v>130</v>
      </c>
      <c r="D459" s="59">
        <v>5.0599999999999996</v>
      </c>
      <c r="E459" s="59">
        <v>0.94</v>
      </c>
      <c r="F459" s="59">
        <v>25.04</v>
      </c>
      <c r="G459" s="62"/>
      <c r="H459" s="59" t="s">
        <v>114</v>
      </c>
      <c r="I459" s="59">
        <v>57</v>
      </c>
      <c r="J459" s="110">
        <f t="shared" si="12"/>
        <v>14.25</v>
      </c>
      <c r="K459" s="172">
        <v>28.5</v>
      </c>
      <c r="L459" s="148" t="s">
        <v>537</v>
      </c>
      <c r="M459" s="170"/>
    </row>
    <row r="460" spans="1:13">
      <c r="A460" s="2"/>
      <c r="B460" s="61" t="s">
        <v>767</v>
      </c>
      <c r="C460" s="59">
        <v>131</v>
      </c>
      <c r="D460" s="59">
        <v>5.15</v>
      </c>
      <c r="E460" s="59">
        <v>1.05</v>
      </c>
      <c r="F460" s="59">
        <v>24.93</v>
      </c>
      <c r="G460" s="62"/>
      <c r="H460" s="59" t="s">
        <v>114</v>
      </c>
      <c r="I460" s="59">
        <v>57</v>
      </c>
      <c r="J460" s="110">
        <f t="shared" si="12"/>
        <v>14.25</v>
      </c>
      <c r="K460" s="172">
        <v>28.5</v>
      </c>
      <c r="L460" s="148" t="s">
        <v>537</v>
      </c>
      <c r="M460" s="170"/>
    </row>
    <row r="461" spans="1:13">
      <c r="A461" s="2"/>
      <c r="B461" s="61" t="s">
        <v>768</v>
      </c>
      <c r="C461" s="59">
        <v>289</v>
      </c>
      <c r="D461" s="59">
        <v>11.26</v>
      </c>
      <c r="E461" s="59">
        <v>2.1</v>
      </c>
      <c r="F461" s="59">
        <v>55.72</v>
      </c>
      <c r="G461" s="62"/>
      <c r="H461" s="59" t="s">
        <v>1280</v>
      </c>
      <c r="I461" s="59">
        <v>128</v>
      </c>
      <c r="J461" s="110">
        <f t="shared" si="12"/>
        <v>128</v>
      </c>
      <c r="K461" s="172">
        <v>28.444444444444443</v>
      </c>
      <c r="L461" s="148" t="s">
        <v>537</v>
      </c>
      <c r="M461" s="170"/>
    </row>
    <row r="462" spans="1:13">
      <c r="A462" s="2"/>
      <c r="B462" s="61" t="s">
        <v>1277</v>
      </c>
      <c r="C462" s="59">
        <v>370</v>
      </c>
      <c r="D462" s="59">
        <v>6.81</v>
      </c>
      <c r="E462" s="59">
        <v>0.55000000000000004</v>
      </c>
      <c r="F462" s="59">
        <v>81.680000000000007</v>
      </c>
      <c r="G462" s="59">
        <v>2.8</v>
      </c>
      <c r="H462" s="59" t="s">
        <v>101</v>
      </c>
      <c r="I462" s="59">
        <v>185</v>
      </c>
      <c r="J462" s="110">
        <f t="shared" si="12"/>
        <v>23.125</v>
      </c>
      <c r="K462" s="172">
        <v>185</v>
      </c>
      <c r="L462" s="142" t="s">
        <v>512</v>
      </c>
      <c r="M462" s="170"/>
    </row>
    <row r="463" spans="1:13">
      <c r="A463" s="2"/>
      <c r="B463" s="61" t="s">
        <v>770</v>
      </c>
      <c r="C463" s="59">
        <v>374</v>
      </c>
      <c r="D463" s="59">
        <v>8.11</v>
      </c>
      <c r="E463" s="59">
        <v>1.04</v>
      </c>
      <c r="F463" s="59">
        <v>80.430000000000007</v>
      </c>
      <c r="G463" s="59">
        <v>2.2000000000000002</v>
      </c>
      <c r="H463" s="59" t="s">
        <v>101</v>
      </c>
      <c r="I463" s="59">
        <v>186</v>
      </c>
      <c r="J463" s="110">
        <f t="shared" si="12"/>
        <v>23.25</v>
      </c>
      <c r="K463" s="172">
        <v>186</v>
      </c>
      <c r="L463" s="142" t="s">
        <v>512</v>
      </c>
      <c r="M463" s="170"/>
    </row>
    <row r="464" spans="1:13">
      <c r="A464" s="2"/>
      <c r="B464" s="61" t="s">
        <v>771</v>
      </c>
      <c r="C464" s="59">
        <v>360</v>
      </c>
      <c r="D464" s="59">
        <v>6.61</v>
      </c>
      <c r="E464" s="59">
        <v>0.57999999999999996</v>
      </c>
      <c r="F464" s="59">
        <v>79.34</v>
      </c>
      <c r="G464" s="59">
        <v>1.4</v>
      </c>
      <c r="H464" s="59" t="s">
        <v>101</v>
      </c>
      <c r="I464" s="59">
        <v>195</v>
      </c>
      <c r="J464" s="110">
        <f t="shared" si="12"/>
        <v>24.375</v>
      </c>
      <c r="K464" s="172">
        <v>195</v>
      </c>
      <c r="L464" s="142" t="s">
        <v>512</v>
      </c>
      <c r="M464" s="170"/>
    </row>
    <row r="465" spans="1:13">
      <c r="A465" s="2"/>
      <c r="B465" s="61" t="s">
        <v>1276</v>
      </c>
      <c r="C465" s="59">
        <v>358</v>
      </c>
      <c r="D465" s="59">
        <v>6.5</v>
      </c>
      <c r="E465" s="59">
        <v>0.52</v>
      </c>
      <c r="F465" s="59">
        <v>79.150000000000006</v>
      </c>
      <c r="G465" s="59">
        <v>2.8</v>
      </c>
      <c r="H465" s="59" t="s">
        <v>101</v>
      </c>
      <c r="I465" s="59">
        <v>200</v>
      </c>
      <c r="J465" s="110">
        <f t="shared" si="12"/>
        <v>25</v>
      </c>
      <c r="K465" s="172">
        <v>200</v>
      </c>
      <c r="L465" s="142" t="s">
        <v>512</v>
      </c>
      <c r="M465" s="170"/>
    </row>
    <row r="466" spans="1:13">
      <c r="A466" s="2"/>
      <c r="B466" s="61" t="s">
        <v>1146</v>
      </c>
      <c r="C466" s="59">
        <v>371</v>
      </c>
      <c r="D466" s="59">
        <v>13.04</v>
      </c>
      <c r="E466" s="59">
        <v>1.51</v>
      </c>
      <c r="F466" s="59">
        <v>74.67</v>
      </c>
      <c r="G466" s="59">
        <v>3.2</v>
      </c>
      <c r="H466" s="59" t="s">
        <v>114</v>
      </c>
      <c r="I466" s="59">
        <v>57</v>
      </c>
      <c r="J466" s="110">
        <f t="shared" si="12"/>
        <v>14.25</v>
      </c>
      <c r="K466" s="172">
        <v>28.5</v>
      </c>
      <c r="L466" s="148" t="s">
        <v>537</v>
      </c>
      <c r="M466" s="170"/>
    </row>
    <row r="467" spans="1:13" ht="13.5" thickBot="1">
      <c r="A467" s="2"/>
      <c r="B467" s="63" t="s">
        <v>1278</v>
      </c>
      <c r="C467" s="64">
        <v>357</v>
      </c>
      <c r="D467" s="64">
        <v>14.73</v>
      </c>
      <c r="E467" s="64">
        <v>1.08</v>
      </c>
      <c r="F467" s="64">
        <v>74.900000000000006</v>
      </c>
      <c r="G467" s="64">
        <v>6.2</v>
      </c>
      <c r="H467" s="64" t="s">
        <v>101</v>
      </c>
      <c r="I467" s="64">
        <v>160</v>
      </c>
      <c r="J467" s="112">
        <f t="shared" si="12"/>
        <v>20</v>
      </c>
      <c r="K467" s="173">
        <v>160</v>
      </c>
      <c r="L467" s="144" t="s">
        <v>512</v>
      </c>
      <c r="M467" s="170"/>
    </row>
    <row r="468" spans="1:13" ht="14.25" thickTop="1" thickBot="1">
      <c r="M468" s="170"/>
    </row>
    <row r="469" spans="1:13" ht="18.75" thickTop="1">
      <c r="B469" s="66" t="s">
        <v>35</v>
      </c>
      <c r="C469" s="67" t="s">
        <v>1474</v>
      </c>
      <c r="D469" s="68" t="s">
        <v>99</v>
      </c>
      <c r="E469" s="67" t="s">
        <v>1475</v>
      </c>
      <c r="F469" s="67" t="s">
        <v>1476</v>
      </c>
      <c r="G469" s="67" t="s">
        <v>1477</v>
      </c>
      <c r="H469" s="68" t="s">
        <v>918</v>
      </c>
      <c r="I469" s="68" t="s">
        <v>919</v>
      </c>
      <c r="J469" s="67" t="s">
        <v>467</v>
      </c>
      <c r="K469" s="67" t="s">
        <v>203</v>
      </c>
      <c r="L469" s="69"/>
      <c r="M469" s="170"/>
    </row>
    <row r="470" spans="1:13">
      <c r="A470" s="2"/>
      <c r="B470" s="61" t="s">
        <v>225</v>
      </c>
      <c r="C470" s="59">
        <v>52</v>
      </c>
      <c r="D470" s="59">
        <v>0.26</v>
      </c>
      <c r="E470" s="59">
        <v>0.17</v>
      </c>
      <c r="F470" s="59">
        <v>13.81</v>
      </c>
      <c r="G470" s="59">
        <v>2.4</v>
      </c>
      <c r="H470" s="101" t="s">
        <v>77</v>
      </c>
      <c r="I470" s="101">
        <v>125</v>
      </c>
      <c r="J470" s="109">
        <f t="shared" ref="J470:J501" si="13">I470*VLOOKUP(H470,Fractional,2,FALSE)</f>
        <v>15.625</v>
      </c>
      <c r="K470" s="171">
        <v>125</v>
      </c>
      <c r="L470" s="143" t="s">
        <v>512</v>
      </c>
      <c r="M470" s="170"/>
    </row>
    <row r="471" spans="1:13">
      <c r="A471" s="2"/>
      <c r="B471" s="61" t="s">
        <v>772</v>
      </c>
      <c r="C471" s="59">
        <v>43</v>
      </c>
      <c r="D471" s="59">
        <v>0.17</v>
      </c>
      <c r="E471" s="59">
        <v>0.05</v>
      </c>
      <c r="F471" s="59">
        <v>11.29</v>
      </c>
      <c r="G471" s="59">
        <v>1.2</v>
      </c>
      <c r="H471" s="59" t="s">
        <v>101</v>
      </c>
      <c r="I471" s="59">
        <v>244</v>
      </c>
      <c r="J471" s="110">
        <f t="shared" si="13"/>
        <v>30.5</v>
      </c>
      <c r="K471" s="172">
        <v>244</v>
      </c>
      <c r="L471" s="142" t="s">
        <v>512</v>
      </c>
      <c r="M471" s="170"/>
    </row>
    <row r="472" spans="1:13">
      <c r="A472" s="2"/>
      <c r="B472" s="61" t="s">
        <v>226</v>
      </c>
      <c r="C472" s="59">
        <v>160</v>
      </c>
      <c r="D472" s="59">
        <v>2</v>
      </c>
      <c r="E472" s="59">
        <v>14.66</v>
      </c>
      <c r="F472" s="59">
        <v>8.5299999999999994</v>
      </c>
      <c r="G472" s="59">
        <v>6.7</v>
      </c>
      <c r="H472" s="59" t="s">
        <v>168</v>
      </c>
      <c r="I472" s="59">
        <v>150</v>
      </c>
      <c r="J472" s="109">
        <f t="shared" si="13"/>
        <v>18.75</v>
      </c>
      <c r="K472" s="172">
        <v>150</v>
      </c>
      <c r="L472" s="142" t="s">
        <v>512</v>
      </c>
      <c r="M472" s="170"/>
    </row>
    <row r="473" spans="1:13">
      <c r="A473" s="2"/>
      <c r="B473" s="61" t="s">
        <v>227</v>
      </c>
      <c r="C473" s="59">
        <v>43</v>
      </c>
      <c r="D473" s="59">
        <v>1.39</v>
      </c>
      <c r="E473" s="59">
        <v>0.49</v>
      </c>
      <c r="F473" s="59">
        <v>9.61</v>
      </c>
      <c r="G473" s="59">
        <v>5.3</v>
      </c>
      <c r="H473" s="59" t="s">
        <v>101</v>
      </c>
      <c r="I473" s="59">
        <v>144</v>
      </c>
      <c r="J473" s="110">
        <f t="shared" si="13"/>
        <v>18</v>
      </c>
      <c r="K473" s="172">
        <v>144</v>
      </c>
      <c r="L473" s="142" t="s">
        <v>512</v>
      </c>
      <c r="M473" s="170"/>
    </row>
    <row r="474" spans="1:13">
      <c r="A474" s="2"/>
      <c r="B474" s="61" t="s">
        <v>228</v>
      </c>
      <c r="C474" s="59">
        <v>46</v>
      </c>
      <c r="D474" s="59">
        <v>0.39</v>
      </c>
      <c r="E474" s="59">
        <v>0.13</v>
      </c>
      <c r="F474" s="59">
        <v>12.2</v>
      </c>
      <c r="G474" s="59">
        <v>4.5999999999999996</v>
      </c>
      <c r="H474" s="59" t="s">
        <v>101</v>
      </c>
      <c r="I474" s="59">
        <v>100</v>
      </c>
      <c r="J474" s="109">
        <f t="shared" si="13"/>
        <v>12.5</v>
      </c>
      <c r="K474" s="172">
        <v>100</v>
      </c>
      <c r="L474" s="142" t="s">
        <v>512</v>
      </c>
      <c r="M474" s="170"/>
    </row>
    <row r="475" spans="1:13">
      <c r="A475" s="2"/>
      <c r="B475" s="61" t="s">
        <v>229</v>
      </c>
      <c r="C475" s="59">
        <v>52</v>
      </c>
      <c r="D475" s="59">
        <v>1.2</v>
      </c>
      <c r="E475" s="59">
        <v>0.65</v>
      </c>
      <c r="F475" s="59">
        <v>11.94</v>
      </c>
      <c r="G475" s="59">
        <v>6.5</v>
      </c>
      <c r="H475" s="59" t="s">
        <v>101</v>
      </c>
      <c r="I475" s="59">
        <v>123</v>
      </c>
      <c r="J475" s="109">
        <f t="shared" si="13"/>
        <v>15.375</v>
      </c>
      <c r="K475" s="172">
        <v>123</v>
      </c>
      <c r="L475" s="142" t="s">
        <v>512</v>
      </c>
      <c r="M475" s="170"/>
    </row>
    <row r="476" spans="1:13">
      <c r="A476" s="2"/>
      <c r="B476" s="61" t="s">
        <v>230</v>
      </c>
      <c r="C476" s="59">
        <v>32</v>
      </c>
      <c r="D476" s="59">
        <v>0.67</v>
      </c>
      <c r="E476" s="59">
        <v>0.3</v>
      </c>
      <c r="F476" s="59">
        <v>7.68</v>
      </c>
      <c r="G476" s="59">
        <v>2</v>
      </c>
      <c r="H476" s="59" t="s">
        <v>80</v>
      </c>
      <c r="I476" s="59">
        <v>152</v>
      </c>
      <c r="J476" s="109">
        <f t="shared" si="13"/>
        <v>19</v>
      </c>
      <c r="K476" s="172">
        <v>152</v>
      </c>
      <c r="L476" s="142" t="s">
        <v>512</v>
      </c>
      <c r="M476" s="170"/>
    </row>
    <row r="477" spans="1:13">
      <c r="A477" s="2"/>
      <c r="B477" s="61" t="s">
        <v>916</v>
      </c>
      <c r="C477" s="59">
        <v>30</v>
      </c>
      <c r="D477" s="59">
        <v>1</v>
      </c>
      <c r="E477" s="59">
        <v>0</v>
      </c>
      <c r="F477" s="59">
        <v>8</v>
      </c>
      <c r="G477" s="59">
        <v>0</v>
      </c>
      <c r="H477" s="59" t="s">
        <v>101</v>
      </c>
      <c r="I477" s="59">
        <v>152</v>
      </c>
      <c r="J477" s="109">
        <f t="shared" si="13"/>
        <v>19</v>
      </c>
      <c r="K477" s="172">
        <v>152</v>
      </c>
      <c r="L477" s="142" t="s">
        <v>512</v>
      </c>
      <c r="M477" s="170"/>
    </row>
    <row r="478" spans="1:13">
      <c r="A478" s="2"/>
      <c r="B478" s="61" t="s">
        <v>773</v>
      </c>
      <c r="C478" s="59">
        <v>76</v>
      </c>
      <c r="D478" s="59">
        <v>0.18</v>
      </c>
      <c r="E478" s="59">
        <v>0.18</v>
      </c>
      <c r="F478" s="59">
        <v>19.91</v>
      </c>
      <c r="G478" s="59">
        <v>1.2</v>
      </c>
      <c r="H478" s="59" t="s">
        <v>101</v>
      </c>
      <c r="I478" s="59">
        <v>255</v>
      </c>
      <c r="J478" s="110">
        <f t="shared" si="13"/>
        <v>31.875</v>
      </c>
      <c r="K478" s="172">
        <v>255</v>
      </c>
      <c r="L478" s="142" t="s">
        <v>512</v>
      </c>
      <c r="M478" s="170"/>
    </row>
    <row r="479" spans="1:13">
      <c r="A479" s="2"/>
      <c r="B479" s="61" t="s">
        <v>79</v>
      </c>
      <c r="C479" s="59">
        <v>48</v>
      </c>
      <c r="D479" s="59">
        <v>1.4</v>
      </c>
      <c r="E479" s="59">
        <v>0.39</v>
      </c>
      <c r="F479" s="59">
        <v>11.12</v>
      </c>
      <c r="G479" s="59">
        <v>2</v>
      </c>
      <c r="H479" s="59" t="s">
        <v>101</v>
      </c>
      <c r="I479" s="59">
        <v>165</v>
      </c>
      <c r="J479" s="109">
        <f t="shared" si="13"/>
        <v>20.625</v>
      </c>
      <c r="K479" s="172">
        <v>165</v>
      </c>
      <c r="L479" s="142" t="s">
        <v>512</v>
      </c>
      <c r="M479" s="170"/>
    </row>
    <row r="480" spans="1:13">
      <c r="A480" s="2"/>
      <c r="B480" s="61" t="s">
        <v>170</v>
      </c>
      <c r="C480" s="59">
        <v>89</v>
      </c>
      <c r="D480" s="59">
        <v>1.0900000000000001</v>
      </c>
      <c r="E480" s="59">
        <v>0.33</v>
      </c>
      <c r="F480" s="59">
        <v>22.84</v>
      </c>
      <c r="G480" s="59">
        <v>2.6</v>
      </c>
      <c r="H480" s="59" t="s">
        <v>944</v>
      </c>
      <c r="I480" s="59">
        <v>118</v>
      </c>
      <c r="J480" s="109">
        <f t="shared" si="13"/>
        <v>29.5</v>
      </c>
      <c r="K480" s="172">
        <v>118</v>
      </c>
      <c r="L480" s="142" t="s">
        <v>574</v>
      </c>
      <c r="M480" s="170"/>
    </row>
    <row r="481" spans="1:13">
      <c r="A481" s="2"/>
      <c r="B481" s="61" t="s">
        <v>171</v>
      </c>
      <c r="C481" s="59">
        <v>57</v>
      </c>
      <c r="D481" s="59">
        <v>0.74</v>
      </c>
      <c r="E481" s="59">
        <v>0.33</v>
      </c>
      <c r="F481" s="59">
        <v>14.49</v>
      </c>
      <c r="G481" s="59">
        <v>2.4</v>
      </c>
      <c r="H481" s="59" t="s">
        <v>101</v>
      </c>
      <c r="I481" s="59">
        <v>147</v>
      </c>
      <c r="J481" s="109">
        <f t="shared" si="13"/>
        <v>18.375</v>
      </c>
      <c r="K481" s="172">
        <v>147</v>
      </c>
      <c r="L481" s="142" t="s">
        <v>512</v>
      </c>
      <c r="M481" s="170"/>
    </row>
    <row r="482" spans="1:13">
      <c r="A482" s="2"/>
      <c r="B482" s="61" t="s">
        <v>374</v>
      </c>
      <c r="C482" s="59">
        <v>31</v>
      </c>
      <c r="D482" s="59">
        <v>1.04</v>
      </c>
      <c r="E482" s="59">
        <v>0.33</v>
      </c>
      <c r="F482" s="59">
        <v>6.73</v>
      </c>
      <c r="G482" s="59">
        <v>2.8</v>
      </c>
      <c r="H482" s="59" t="s">
        <v>168</v>
      </c>
      <c r="I482" s="59">
        <v>132</v>
      </c>
      <c r="J482" s="109">
        <f t="shared" si="13"/>
        <v>16.5</v>
      </c>
      <c r="K482" s="172">
        <v>132</v>
      </c>
      <c r="L482" s="142" t="s">
        <v>512</v>
      </c>
      <c r="M482" s="170"/>
    </row>
    <row r="483" spans="1:13">
      <c r="A483" s="2"/>
      <c r="B483" s="61" t="s">
        <v>375</v>
      </c>
      <c r="C483" s="59">
        <v>62</v>
      </c>
      <c r="D483" s="59">
        <v>0.5</v>
      </c>
      <c r="E483" s="59">
        <v>1.3</v>
      </c>
      <c r="F483" s="59">
        <v>13.63</v>
      </c>
      <c r="G483" s="62"/>
      <c r="H483" s="59" t="s">
        <v>78</v>
      </c>
      <c r="I483" s="59">
        <v>150</v>
      </c>
      <c r="J483" s="109">
        <f t="shared" si="13"/>
        <v>18.75</v>
      </c>
      <c r="K483" s="172">
        <v>150</v>
      </c>
      <c r="L483" s="142" t="s">
        <v>512</v>
      </c>
      <c r="M483" s="170"/>
    </row>
    <row r="484" spans="1:13">
      <c r="A484" s="2"/>
      <c r="B484" s="61" t="s">
        <v>376</v>
      </c>
      <c r="C484" s="59">
        <v>74</v>
      </c>
      <c r="D484" s="59">
        <v>1.65</v>
      </c>
      <c r="E484" s="59">
        <v>0.62</v>
      </c>
      <c r="F484" s="59">
        <v>17.7</v>
      </c>
      <c r="G484" s="59">
        <v>2.2999999999999998</v>
      </c>
      <c r="H484" s="59" t="s">
        <v>169</v>
      </c>
      <c r="I484" s="59">
        <v>312</v>
      </c>
      <c r="J484" s="109">
        <f t="shared" si="13"/>
        <v>156</v>
      </c>
      <c r="K484" s="172">
        <v>312</v>
      </c>
      <c r="L484" s="142" t="s">
        <v>1440</v>
      </c>
      <c r="M484" s="170"/>
    </row>
    <row r="485" spans="1:13">
      <c r="A485" s="2"/>
      <c r="B485" s="61" t="s">
        <v>377</v>
      </c>
      <c r="C485" s="59">
        <v>50</v>
      </c>
      <c r="D485" s="59">
        <v>1</v>
      </c>
      <c r="E485" s="59">
        <v>0.3</v>
      </c>
      <c r="F485" s="59">
        <v>12.18</v>
      </c>
      <c r="G485" s="59">
        <v>1.6</v>
      </c>
      <c r="H485" s="59" t="s">
        <v>378</v>
      </c>
      <c r="I485" s="59">
        <v>155</v>
      </c>
      <c r="J485" s="109">
        <f t="shared" si="13"/>
        <v>19.375</v>
      </c>
      <c r="K485" s="172">
        <v>155</v>
      </c>
      <c r="L485" s="142" t="s">
        <v>512</v>
      </c>
      <c r="M485" s="170"/>
    </row>
    <row r="486" spans="1:13">
      <c r="A486" s="2"/>
      <c r="B486" s="61" t="s">
        <v>379</v>
      </c>
      <c r="C486" s="59">
        <v>63</v>
      </c>
      <c r="D486" s="59">
        <v>1.06</v>
      </c>
      <c r="E486" s="59">
        <v>0.2</v>
      </c>
      <c r="F486" s="59">
        <v>16.010000000000002</v>
      </c>
      <c r="G486" s="59">
        <v>2.1</v>
      </c>
      <c r="H486" s="59" t="s">
        <v>378</v>
      </c>
      <c r="I486" s="59">
        <v>154</v>
      </c>
      <c r="J486" s="109">
        <f t="shared" si="13"/>
        <v>19.25</v>
      </c>
      <c r="K486" s="172">
        <v>154</v>
      </c>
      <c r="L486" s="142" t="s">
        <v>512</v>
      </c>
      <c r="M486" s="170"/>
    </row>
    <row r="487" spans="1:13">
      <c r="A487" s="2"/>
      <c r="B487" s="61" t="s">
        <v>380</v>
      </c>
      <c r="C487" s="59">
        <v>282</v>
      </c>
      <c r="D487" s="59">
        <v>2.4500000000000002</v>
      </c>
      <c r="E487" s="59">
        <v>0.39</v>
      </c>
      <c r="F487" s="59">
        <v>75.03</v>
      </c>
      <c r="G487" s="59">
        <v>8</v>
      </c>
      <c r="H487" s="59" t="s">
        <v>1449</v>
      </c>
      <c r="I487" s="59">
        <v>147</v>
      </c>
      <c r="J487" s="109">
        <f t="shared" si="13"/>
        <v>18.375</v>
      </c>
      <c r="K487" s="172">
        <v>147</v>
      </c>
      <c r="L487" s="142" t="s">
        <v>512</v>
      </c>
      <c r="M487" s="170"/>
    </row>
    <row r="488" spans="1:13">
      <c r="A488" s="2"/>
      <c r="B488" s="61" t="s">
        <v>974</v>
      </c>
      <c r="C488" s="59">
        <v>73</v>
      </c>
      <c r="D488" s="59">
        <v>0.66</v>
      </c>
      <c r="E488" s="59">
        <v>0.5</v>
      </c>
      <c r="F488" s="59">
        <v>18.399999999999999</v>
      </c>
      <c r="G488" s="59">
        <v>7</v>
      </c>
      <c r="H488" s="59" t="s">
        <v>101</v>
      </c>
      <c r="I488" s="59">
        <v>145</v>
      </c>
      <c r="J488" s="110">
        <f t="shared" si="13"/>
        <v>18.125</v>
      </c>
      <c r="K488" s="172">
        <v>145</v>
      </c>
      <c r="L488" s="142" t="s">
        <v>512</v>
      </c>
      <c r="M488" s="170"/>
    </row>
    <row r="489" spans="1:13">
      <c r="A489" s="2"/>
      <c r="B489" s="61" t="s">
        <v>975</v>
      </c>
      <c r="C489" s="59">
        <v>74</v>
      </c>
      <c r="D489" s="59">
        <v>0.75</v>
      </c>
      <c r="E489" s="59">
        <v>0.3</v>
      </c>
      <c r="F489" s="59">
        <v>19.18</v>
      </c>
      <c r="G489" s="59">
        <v>2.9</v>
      </c>
      <c r="H489" s="59" t="s">
        <v>976</v>
      </c>
      <c r="I489" s="59">
        <v>64</v>
      </c>
      <c r="J489" s="109">
        <f t="shared" si="13"/>
        <v>16</v>
      </c>
      <c r="K489" s="172">
        <v>64</v>
      </c>
      <c r="L489" s="142" t="s">
        <v>575</v>
      </c>
      <c r="M489" s="170"/>
    </row>
    <row r="490" spans="1:13">
      <c r="A490" s="2"/>
      <c r="B490" s="61" t="s">
        <v>977</v>
      </c>
      <c r="C490" s="59">
        <v>44</v>
      </c>
      <c r="D490" s="59">
        <v>0.88</v>
      </c>
      <c r="E490" s="59">
        <v>0.57999999999999996</v>
      </c>
      <c r="F490" s="59">
        <v>10.18</v>
      </c>
      <c r="G490" s="59">
        <v>4.3</v>
      </c>
      <c r="H490" s="59" t="s">
        <v>101</v>
      </c>
      <c r="I490" s="59">
        <v>150</v>
      </c>
      <c r="J490" s="110">
        <f t="shared" si="13"/>
        <v>18.75</v>
      </c>
      <c r="K490" s="172">
        <v>150</v>
      </c>
      <c r="L490" s="142" t="s">
        <v>512</v>
      </c>
      <c r="M490" s="170"/>
    </row>
    <row r="491" spans="1:13">
      <c r="A491" s="2"/>
      <c r="B491" s="61" t="s">
        <v>1339</v>
      </c>
      <c r="C491" s="59">
        <v>42</v>
      </c>
      <c r="D491" s="59">
        <v>0.77</v>
      </c>
      <c r="E491" s="59">
        <v>0.14000000000000001</v>
      </c>
      <c r="F491" s="59">
        <v>10.66</v>
      </c>
      <c r="G491" s="59">
        <v>1.6</v>
      </c>
      <c r="H491" s="59" t="s">
        <v>978</v>
      </c>
      <c r="I491" s="59">
        <v>230</v>
      </c>
      <c r="J491" s="109">
        <f t="shared" si="13"/>
        <v>28.75</v>
      </c>
      <c r="K491" s="172">
        <v>230</v>
      </c>
      <c r="L491" s="142" t="s">
        <v>512</v>
      </c>
      <c r="M491" s="170"/>
    </row>
    <row r="492" spans="1:13">
      <c r="A492" s="2"/>
      <c r="B492" s="61" t="s">
        <v>1340</v>
      </c>
      <c r="C492" s="59">
        <v>67</v>
      </c>
      <c r="D492" s="59">
        <v>0.63</v>
      </c>
      <c r="E492" s="59">
        <v>0.35</v>
      </c>
      <c r="F492" s="59">
        <v>17.149999999999999</v>
      </c>
      <c r="G492" s="59">
        <v>0.9</v>
      </c>
      <c r="H492" s="59" t="s">
        <v>101</v>
      </c>
      <c r="I492" s="59">
        <v>92</v>
      </c>
      <c r="J492" s="109">
        <f t="shared" si="13"/>
        <v>11.5</v>
      </c>
      <c r="K492" s="172">
        <v>92</v>
      </c>
      <c r="L492" s="142" t="s">
        <v>512</v>
      </c>
      <c r="M492" s="170"/>
    </row>
    <row r="493" spans="1:13">
      <c r="A493" s="2"/>
      <c r="B493" s="61" t="s">
        <v>774</v>
      </c>
      <c r="C493" s="59">
        <v>53</v>
      </c>
      <c r="D493" s="59">
        <v>1.9</v>
      </c>
      <c r="E493" s="59">
        <v>0.7</v>
      </c>
      <c r="F493" s="59">
        <v>11.2</v>
      </c>
      <c r="G493" s="62"/>
      <c r="H493" s="59" t="s">
        <v>101</v>
      </c>
      <c r="I493" s="59">
        <v>140</v>
      </c>
      <c r="J493" s="110">
        <f t="shared" si="13"/>
        <v>17.5</v>
      </c>
      <c r="K493" s="172">
        <v>140</v>
      </c>
      <c r="L493" s="142" t="s">
        <v>512</v>
      </c>
      <c r="M493" s="170"/>
    </row>
    <row r="494" spans="1:13">
      <c r="A494" s="2"/>
      <c r="B494" s="61" t="s">
        <v>274</v>
      </c>
      <c r="C494" s="59">
        <v>68</v>
      </c>
      <c r="D494" s="59">
        <v>2.5499999999999998</v>
      </c>
      <c r="E494" s="59">
        <v>0.95</v>
      </c>
      <c r="F494" s="59">
        <v>14.32</v>
      </c>
      <c r="G494" s="59">
        <v>5.4</v>
      </c>
      <c r="H494" s="59" t="s">
        <v>101</v>
      </c>
      <c r="I494" s="59">
        <v>165</v>
      </c>
      <c r="J494" s="109">
        <f t="shared" si="13"/>
        <v>20.625</v>
      </c>
      <c r="K494" s="172">
        <v>165</v>
      </c>
      <c r="L494" s="142" t="s">
        <v>512</v>
      </c>
      <c r="M494" s="170"/>
    </row>
    <row r="495" spans="1:13">
      <c r="A495" s="2"/>
      <c r="B495" s="61" t="s">
        <v>275</v>
      </c>
      <c r="C495" s="59">
        <v>69</v>
      </c>
      <c r="D495" s="59">
        <v>0.57999999999999996</v>
      </c>
      <c r="E495" s="59">
        <v>0.6</v>
      </c>
      <c r="F495" s="59">
        <v>17.36</v>
      </c>
      <c r="G495" s="59">
        <v>5.4</v>
      </c>
      <c r="H495" s="59" t="s">
        <v>101</v>
      </c>
      <c r="I495" s="59">
        <v>244</v>
      </c>
      <c r="J495" s="109">
        <f t="shared" si="13"/>
        <v>30.5</v>
      </c>
      <c r="K495" s="172">
        <v>244</v>
      </c>
      <c r="L495" s="142" t="s">
        <v>512</v>
      </c>
      <c r="M495" s="170"/>
    </row>
    <row r="496" spans="1:13">
      <c r="A496" s="2"/>
      <c r="B496" s="61" t="s">
        <v>775</v>
      </c>
      <c r="C496" s="59">
        <v>61</v>
      </c>
      <c r="D496" s="59">
        <v>1.1399999999999999</v>
      </c>
      <c r="E496" s="59">
        <v>0.52</v>
      </c>
      <c r="F496" s="59">
        <v>14.66</v>
      </c>
      <c r="G496" s="59">
        <v>3</v>
      </c>
      <c r="H496" s="59" t="s">
        <v>101</v>
      </c>
      <c r="I496" s="59">
        <v>177</v>
      </c>
      <c r="J496" s="109">
        <f t="shared" si="13"/>
        <v>22.125</v>
      </c>
      <c r="K496" s="172">
        <v>177</v>
      </c>
      <c r="L496" s="142" t="s">
        <v>512</v>
      </c>
      <c r="M496" s="170"/>
    </row>
    <row r="497" spans="1:13">
      <c r="A497" s="2"/>
      <c r="B497" s="61" t="s">
        <v>276</v>
      </c>
      <c r="C497" s="59">
        <v>71</v>
      </c>
      <c r="D497" s="59">
        <v>1.88</v>
      </c>
      <c r="E497" s="59">
        <v>0.86</v>
      </c>
      <c r="F497" s="59">
        <v>15.9</v>
      </c>
      <c r="G497" s="59">
        <v>6.5</v>
      </c>
      <c r="H497" s="59" t="s">
        <v>76</v>
      </c>
      <c r="I497" s="59">
        <v>19</v>
      </c>
      <c r="J497" s="110">
        <f t="shared" si="13"/>
        <v>4.75</v>
      </c>
      <c r="K497" s="172">
        <v>19</v>
      </c>
      <c r="L497" s="142" t="s">
        <v>1441</v>
      </c>
      <c r="M497" s="170"/>
    </row>
    <row r="498" spans="1:13">
      <c r="A498" s="2"/>
      <c r="B498" s="61" t="s">
        <v>277</v>
      </c>
      <c r="C498" s="59">
        <v>29</v>
      </c>
      <c r="D498" s="59">
        <v>1.1000000000000001</v>
      </c>
      <c r="E498" s="59">
        <v>0.3</v>
      </c>
      <c r="F498" s="59">
        <v>9.32</v>
      </c>
      <c r="G498" s="59">
        <v>2.8</v>
      </c>
      <c r="H498" s="59" t="s">
        <v>283</v>
      </c>
      <c r="I498" s="59">
        <v>58</v>
      </c>
      <c r="J498" s="109">
        <f t="shared" si="13"/>
        <v>14.5</v>
      </c>
      <c r="K498" s="172">
        <v>58</v>
      </c>
      <c r="L498" s="142" t="s">
        <v>576</v>
      </c>
      <c r="M498" s="170"/>
    </row>
    <row r="499" spans="1:13">
      <c r="A499" s="2"/>
      <c r="B499" s="61" t="s">
        <v>280</v>
      </c>
      <c r="C499" s="59">
        <v>30</v>
      </c>
      <c r="D499" s="59">
        <v>0.7</v>
      </c>
      <c r="E499" s="59">
        <v>0.2</v>
      </c>
      <c r="F499" s="59">
        <v>10.54</v>
      </c>
      <c r="G499" s="59">
        <v>2.8</v>
      </c>
      <c r="H499" s="59" t="s">
        <v>283</v>
      </c>
      <c r="I499" s="59">
        <v>67</v>
      </c>
      <c r="J499" s="109">
        <f t="shared" si="13"/>
        <v>16.75</v>
      </c>
      <c r="K499" s="172">
        <v>67</v>
      </c>
      <c r="L499" s="142" t="s">
        <v>576</v>
      </c>
      <c r="M499" s="170"/>
    </row>
    <row r="500" spans="1:13">
      <c r="A500" s="2"/>
      <c r="B500" s="61" t="s">
        <v>282</v>
      </c>
      <c r="C500" s="59">
        <v>66</v>
      </c>
      <c r="D500" s="59">
        <v>0.83</v>
      </c>
      <c r="E500" s="59">
        <v>0.44</v>
      </c>
      <c r="F500" s="59">
        <v>16.53</v>
      </c>
      <c r="G500" s="59">
        <v>1.3</v>
      </c>
      <c r="H500" s="59" t="s">
        <v>283</v>
      </c>
      <c r="I500" s="59">
        <v>10</v>
      </c>
      <c r="J500" s="109">
        <f t="shared" si="13"/>
        <v>2.5</v>
      </c>
      <c r="K500" s="172">
        <v>10</v>
      </c>
      <c r="L500" s="142" t="s">
        <v>576</v>
      </c>
      <c r="M500" s="170"/>
    </row>
    <row r="501" spans="1:13">
      <c r="A501" s="2"/>
      <c r="B501" s="61" t="s">
        <v>284</v>
      </c>
      <c r="C501" s="59">
        <v>60</v>
      </c>
      <c r="D501" s="59">
        <v>1.31</v>
      </c>
      <c r="E501" s="59">
        <v>0.1</v>
      </c>
      <c r="F501" s="59">
        <v>15.14</v>
      </c>
      <c r="G501" s="59">
        <v>1.1000000000000001</v>
      </c>
      <c r="H501" s="59" t="s">
        <v>76</v>
      </c>
      <c r="I501" s="59">
        <v>3.2</v>
      </c>
      <c r="J501" s="110">
        <f t="shared" si="13"/>
        <v>0.8</v>
      </c>
      <c r="K501" s="172">
        <v>3.2</v>
      </c>
      <c r="L501" s="142" t="s">
        <v>1441</v>
      </c>
      <c r="M501" s="170"/>
    </row>
    <row r="502" spans="1:13">
      <c r="A502" s="2"/>
      <c r="B502" s="61" t="s">
        <v>285</v>
      </c>
      <c r="C502" s="59">
        <v>65</v>
      </c>
      <c r="D502" s="59">
        <v>0.51</v>
      </c>
      <c r="E502" s="59">
        <v>0.27</v>
      </c>
      <c r="F502" s="59">
        <v>17</v>
      </c>
      <c r="G502" s="59">
        <v>1.8</v>
      </c>
      <c r="H502" s="59" t="s">
        <v>109</v>
      </c>
      <c r="I502" s="59">
        <v>165</v>
      </c>
      <c r="J502" s="109">
        <f t="shared" ref="J502:J519" si="14">I502*VLOOKUP(H502,Fractional,2,FALSE)</f>
        <v>41.25</v>
      </c>
      <c r="K502" s="172">
        <v>165</v>
      </c>
      <c r="L502" s="142" t="s">
        <v>512</v>
      </c>
      <c r="M502" s="170"/>
    </row>
    <row r="503" spans="1:13">
      <c r="A503" s="2"/>
      <c r="B503" s="61" t="s">
        <v>286</v>
      </c>
      <c r="C503" s="59">
        <v>34</v>
      </c>
      <c r="D503" s="59">
        <v>0.84</v>
      </c>
      <c r="E503" s="59">
        <v>0.19</v>
      </c>
      <c r="F503" s="59">
        <v>8.16</v>
      </c>
      <c r="G503" s="59">
        <v>0.9</v>
      </c>
      <c r="H503" s="59" t="s">
        <v>168</v>
      </c>
      <c r="I503" s="59">
        <v>160</v>
      </c>
      <c r="J503" s="109">
        <f t="shared" si="14"/>
        <v>20</v>
      </c>
      <c r="K503" s="172">
        <v>160</v>
      </c>
      <c r="L503" s="142" t="s">
        <v>512</v>
      </c>
      <c r="M503" s="170"/>
    </row>
    <row r="504" spans="1:13">
      <c r="A504" s="2"/>
      <c r="B504" s="61" t="s">
        <v>287</v>
      </c>
      <c r="C504" s="59">
        <v>28</v>
      </c>
      <c r="D504" s="59">
        <v>1.1100000000000001</v>
      </c>
      <c r="E504" s="59">
        <v>0.1</v>
      </c>
      <c r="F504" s="59">
        <v>6.58</v>
      </c>
      <c r="G504" s="59">
        <v>0.9</v>
      </c>
      <c r="H504" s="59" t="s">
        <v>168</v>
      </c>
      <c r="I504" s="59">
        <v>170</v>
      </c>
      <c r="J504" s="109">
        <f t="shared" si="14"/>
        <v>21.25</v>
      </c>
      <c r="K504" s="172">
        <v>170</v>
      </c>
      <c r="L504" s="142" t="s">
        <v>512</v>
      </c>
      <c r="M504" s="170"/>
    </row>
    <row r="505" spans="1:13">
      <c r="A505" s="2"/>
      <c r="B505" s="61" t="s">
        <v>288</v>
      </c>
      <c r="C505" s="59">
        <v>36</v>
      </c>
      <c r="D505" s="59">
        <v>0.54</v>
      </c>
      <c r="E505" s="59">
        <v>0.14000000000000001</v>
      </c>
      <c r="F505" s="59">
        <v>9.09</v>
      </c>
      <c r="G505" s="59">
        <v>0.8</v>
      </c>
      <c r="H505" s="59" t="s">
        <v>945</v>
      </c>
      <c r="I505" s="59">
        <v>170</v>
      </c>
      <c r="J505" s="109">
        <f t="shared" si="14"/>
        <v>21.25</v>
      </c>
      <c r="K505" s="172">
        <v>170</v>
      </c>
      <c r="L505" s="142" t="s">
        <v>512</v>
      </c>
      <c r="M505" s="170"/>
    </row>
    <row r="506" spans="1:13">
      <c r="A506" s="2"/>
      <c r="B506" s="61" t="s">
        <v>979</v>
      </c>
      <c r="C506" s="59">
        <v>43</v>
      </c>
      <c r="D506" s="59">
        <v>1.44</v>
      </c>
      <c r="E506" s="59">
        <v>0.39</v>
      </c>
      <c r="F506" s="59">
        <v>9.8000000000000007</v>
      </c>
      <c r="G506" s="59">
        <v>1.7</v>
      </c>
      <c r="H506" s="59" t="s">
        <v>101</v>
      </c>
      <c r="I506" s="59">
        <v>140</v>
      </c>
      <c r="J506" s="109">
        <f t="shared" si="14"/>
        <v>17.5</v>
      </c>
      <c r="K506" s="172">
        <v>140</v>
      </c>
      <c r="L506" s="142" t="s">
        <v>512</v>
      </c>
      <c r="M506" s="170"/>
    </row>
    <row r="507" spans="1:13">
      <c r="A507" s="2"/>
      <c r="B507" s="61" t="s">
        <v>980</v>
      </c>
      <c r="C507" s="59">
        <v>44</v>
      </c>
      <c r="D507" s="59">
        <v>1.06</v>
      </c>
      <c r="E507" s="59">
        <v>0.32</v>
      </c>
      <c r="F507" s="59">
        <v>10.55</v>
      </c>
      <c r="G507" s="59">
        <v>1.7</v>
      </c>
      <c r="H507" s="59" t="s">
        <v>283</v>
      </c>
      <c r="I507" s="59">
        <v>129</v>
      </c>
      <c r="J507" s="109">
        <f t="shared" si="14"/>
        <v>32.25</v>
      </c>
      <c r="K507" s="172">
        <v>129</v>
      </c>
      <c r="L507" s="142" t="s">
        <v>576</v>
      </c>
      <c r="M507" s="170"/>
    </row>
    <row r="508" spans="1:13">
      <c r="A508" s="2"/>
      <c r="B508" s="61" t="s">
        <v>981</v>
      </c>
      <c r="C508" s="59">
        <v>28</v>
      </c>
      <c r="D508" s="59">
        <v>0.38</v>
      </c>
      <c r="E508" s="59">
        <v>0.22</v>
      </c>
      <c r="F508" s="59">
        <v>6.84</v>
      </c>
      <c r="G508" s="62"/>
      <c r="H508" s="59" t="s">
        <v>101</v>
      </c>
      <c r="I508" s="59">
        <v>140</v>
      </c>
      <c r="J508" s="109">
        <f t="shared" si="14"/>
        <v>17.5</v>
      </c>
      <c r="K508" s="172">
        <v>140</v>
      </c>
      <c r="L508" s="142" t="s">
        <v>512</v>
      </c>
      <c r="M508" s="170"/>
    </row>
    <row r="509" spans="1:13">
      <c r="A509" s="2"/>
      <c r="B509" s="61" t="s">
        <v>776</v>
      </c>
      <c r="C509" s="59">
        <v>47</v>
      </c>
      <c r="D509" s="59">
        <v>0.94</v>
      </c>
      <c r="E509" s="59">
        <v>0.12</v>
      </c>
      <c r="F509" s="59">
        <v>11.75</v>
      </c>
      <c r="G509" s="59">
        <v>2.4</v>
      </c>
      <c r="H509" s="59" t="s">
        <v>278</v>
      </c>
      <c r="I509" s="59">
        <v>184</v>
      </c>
      <c r="J509" s="109">
        <f t="shared" si="14"/>
        <v>23</v>
      </c>
      <c r="K509" s="172">
        <v>184</v>
      </c>
      <c r="L509" s="142" t="s">
        <v>512</v>
      </c>
      <c r="M509" s="170"/>
    </row>
    <row r="510" spans="1:13">
      <c r="A510" s="2"/>
      <c r="B510" s="61" t="s">
        <v>982</v>
      </c>
      <c r="C510" s="59">
        <v>39</v>
      </c>
      <c r="D510" s="59">
        <v>0.61</v>
      </c>
      <c r="E510" s="59">
        <v>0.14000000000000001</v>
      </c>
      <c r="F510" s="59">
        <v>9.81</v>
      </c>
      <c r="G510" s="59">
        <v>1.8</v>
      </c>
      <c r="H510" s="59" t="s">
        <v>168</v>
      </c>
      <c r="I510" s="59">
        <v>140</v>
      </c>
      <c r="J510" s="109">
        <f t="shared" si="14"/>
        <v>17.5</v>
      </c>
      <c r="K510" s="172">
        <v>140</v>
      </c>
      <c r="L510" s="142" t="s">
        <v>512</v>
      </c>
      <c r="M510" s="170"/>
    </row>
    <row r="511" spans="1:13">
      <c r="A511" s="2"/>
      <c r="B511" s="61" t="s">
        <v>983</v>
      </c>
      <c r="C511" s="59">
        <v>39</v>
      </c>
      <c r="D511" s="59">
        <v>0.91</v>
      </c>
      <c r="E511" s="59">
        <v>0.25</v>
      </c>
      <c r="F511" s="59">
        <v>9.5399999999999991</v>
      </c>
      <c r="G511" s="59">
        <v>1.5</v>
      </c>
      <c r="H511" s="59" t="s">
        <v>283</v>
      </c>
      <c r="I511" s="59">
        <v>130</v>
      </c>
      <c r="J511" s="109">
        <f t="shared" si="14"/>
        <v>32.5</v>
      </c>
      <c r="K511" s="172">
        <v>130</v>
      </c>
      <c r="L511" s="142" t="s">
        <v>576</v>
      </c>
      <c r="M511" s="170"/>
    </row>
    <row r="512" spans="1:13">
      <c r="A512" s="2"/>
      <c r="B512" s="61" t="s">
        <v>984</v>
      </c>
      <c r="C512" s="59">
        <v>58</v>
      </c>
      <c r="D512" s="59">
        <v>0.38</v>
      </c>
      <c r="E512" s="59">
        <v>0.12</v>
      </c>
      <c r="F512" s="59">
        <v>15.46</v>
      </c>
      <c r="G512" s="59">
        <v>3.1</v>
      </c>
      <c r="H512" s="59" t="s">
        <v>283</v>
      </c>
      <c r="I512" s="59">
        <v>178</v>
      </c>
      <c r="J512" s="109">
        <f t="shared" si="14"/>
        <v>44.5</v>
      </c>
      <c r="K512" s="172">
        <v>178</v>
      </c>
      <c r="L512" s="142" t="s">
        <v>576</v>
      </c>
      <c r="M512" s="170"/>
    </row>
    <row r="513" spans="1:13">
      <c r="A513" s="2"/>
      <c r="B513" s="61" t="s">
        <v>777</v>
      </c>
      <c r="C513" s="59">
        <v>50</v>
      </c>
      <c r="D513" s="59">
        <v>0.54</v>
      </c>
      <c r="E513" s="59">
        <v>0.12</v>
      </c>
      <c r="F513" s="59">
        <v>13.12</v>
      </c>
      <c r="G513" s="59">
        <v>1.4</v>
      </c>
      <c r="H513" s="59" t="s">
        <v>289</v>
      </c>
      <c r="I513" s="59">
        <v>165</v>
      </c>
      <c r="J513" s="109">
        <f t="shared" si="14"/>
        <v>20.625</v>
      </c>
      <c r="K513" s="172">
        <v>165</v>
      </c>
      <c r="L513" s="142" t="s">
        <v>512</v>
      </c>
      <c r="M513" s="170"/>
    </row>
    <row r="514" spans="1:13">
      <c r="A514" s="2"/>
      <c r="B514" s="61" t="s">
        <v>290</v>
      </c>
      <c r="C514" s="59">
        <v>122</v>
      </c>
      <c r="D514" s="59">
        <v>1.3</v>
      </c>
      <c r="E514" s="59">
        <v>0.37</v>
      </c>
      <c r="F514" s="59">
        <v>31.89</v>
      </c>
      <c r="G514" s="59">
        <v>2.2999999999999998</v>
      </c>
      <c r="H514" s="59" t="s">
        <v>283</v>
      </c>
      <c r="I514" s="59">
        <v>179</v>
      </c>
      <c r="J514" s="109">
        <f t="shared" si="14"/>
        <v>44.75</v>
      </c>
      <c r="K514" s="172">
        <v>179</v>
      </c>
      <c r="L514" s="142" t="s">
        <v>576</v>
      </c>
      <c r="M514" s="170"/>
    </row>
    <row r="515" spans="1:13">
      <c r="A515" s="2"/>
      <c r="B515" s="61" t="s">
        <v>291</v>
      </c>
      <c r="C515" s="59">
        <v>46</v>
      </c>
      <c r="D515" s="59">
        <v>0.7</v>
      </c>
      <c r="E515" s="59">
        <v>0.28000000000000003</v>
      </c>
      <c r="F515" s="59">
        <v>11.42</v>
      </c>
      <c r="G515" s="59">
        <v>1.4</v>
      </c>
      <c r="H515" s="59" t="s">
        <v>283</v>
      </c>
      <c r="I515" s="59">
        <v>66</v>
      </c>
      <c r="J515" s="109">
        <f t="shared" si="14"/>
        <v>16.5</v>
      </c>
      <c r="K515" s="172">
        <v>66</v>
      </c>
      <c r="L515" s="142" t="s">
        <v>576</v>
      </c>
      <c r="M515" s="170"/>
    </row>
    <row r="516" spans="1:13">
      <c r="A516" s="2"/>
      <c r="B516" s="61" t="s">
        <v>292</v>
      </c>
      <c r="C516" s="59">
        <v>68</v>
      </c>
      <c r="D516" s="59">
        <v>0.95</v>
      </c>
      <c r="E516" s="59">
        <v>0.3</v>
      </c>
      <c r="F516" s="59">
        <v>17.170000000000002</v>
      </c>
      <c r="G516" s="59">
        <v>0.6</v>
      </c>
      <c r="H516" s="59" t="s">
        <v>293</v>
      </c>
      <c r="I516" s="59">
        <v>154</v>
      </c>
      <c r="J516" s="110">
        <f t="shared" si="14"/>
        <v>38.5</v>
      </c>
      <c r="K516" s="172">
        <v>154</v>
      </c>
      <c r="L516" s="142" t="s">
        <v>577</v>
      </c>
      <c r="M516" s="170"/>
    </row>
    <row r="517" spans="1:13">
      <c r="A517" s="2"/>
      <c r="B517" s="61" t="s">
        <v>296</v>
      </c>
      <c r="C517" s="59">
        <v>299</v>
      </c>
      <c r="D517" s="59">
        <v>3.07</v>
      </c>
      <c r="E517" s="59">
        <v>0.46</v>
      </c>
      <c r="F517" s="59">
        <v>79.180000000000007</v>
      </c>
      <c r="G517" s="59">
        <v>3.7</v>
      </c>
      <c r="H517" s="59" t="s">
        <v>295</v>
      </c>
      <c r="I517" s="59">
        <v>165</v>
      </c>
      <c r="J517" s="109">
        <f t="shared" si="14"/>
        <v>20.625</v>
      </c>
      <c r="K517" s="172">
        <v>165</v>
      </c>
      <c r="L517" s="142" t="s">
        <v>512</v>
      </c>
      <c r="M517" s="170"/>
    </row>
    <row r="518" spans="1:13">
      <c r="A518" s="2"/>
      <c r="B518" s="61" t="s">
        <v>297</v>
      </c>
      <c r="C518" s="59">
        <v>21</v>
      </c>
      <c r="D518" s="59">
        <v>0.9</v>
      </c>
      <c r="E518" s="59">
        <v>0.2</v>
      </c>
      <c r="F518" s="59">
        <v>4.54</v>
      </c>
      <c r="G518" s="59">
        <v>1.8</v>
      </c>
      <c r="H518" s="59" t="s">
        <v>298</v>
      </c>
      <c r="I518" s="59">
        <v>51</v>
      </c>
      <c r="J518" s="109">
        <f t="shared" si="14"/>
        <v>25.5</v>
      </c>
      <c r="K518" s="172">
        <v>51</v>
      </c>
      <c r="L518" s="142" t="s">
        <v>578</v>
      </c>
      <c r="M518" s="170"/>
    </row>
    <row r="519" spans="1:13" ht="13.5" thickBot="1">
      <c r="A519" s="2"/>
      <c r="B519" s="63" t="s">
        <v>778</v>
      </c>
      <c r="C519" s="64">
        <v>53</v>
      </c>
      <c r="D519" s="64">
        <v>0.81</v>
      </c>
      <c r="E519" s="64">
        <v>0.31</v>
      </c>
      <c r="F519" s="64">
        <v>13.34</v>
      </c>
      <c r="G519" s="64">
        <v>1.8</v>
      </c>
      <c r="H519" s="64" t="s">
        <v>283</v>
      </c>
      <c r="I519" s="64">
        <v>76</v>
      </c>
      <c r="J519" s="111">
        <f t="shared" si="14"/>
        <v>19</v>
      </c>
      <c r="K519" s="173">
        <v>76</v>
      </c>
      <c r="L519" s="144" t="s">
        <v>576</v>
      </c>
      <c r="M519" s="170"/>
    </row>
    <row r="520" spans="1:13" ht="14.25" thickTop="1" thickBot="1">
      <c r="M520" s="170"/>
    </row>
    <row r="521" spans="1:13" ht="18.75" thickTop="1">
      <c r="B521" s="66" t="s">
        <v>1260</v>
      </c>
      <c r="C521" s="67" t="s">
        <v>1474</v>
      </c>
      <c r="D521" s="68" t="s">
        <v>99</v>
      </c>
      <c r="E521" s="67" t="s">
        <v>1475</v>
      </c>
      <c r="F521" s="67" t="s">
        <v>1476</v>
      </c>
      <c r="G521" s="67" t="s">
        <v>1477</v>
      </c>
      <c r="H521" s="68" t="s">
        <v>918</v>
      </c>
      <c r="I521" s="68" t="s">
        <v>919</v>
      </c>
      <c r="J521" s="67" t="s">
        <v>467</v>
      </c>
      <c r="K521" s="67" t="s">
        <v>203</v>
      </c>
      <c r="L521" s="69"/>
      <c r="M521" s="170"/>
    </row>
    <row r="522" spans="1:13">
      <c r="A522" s="2"/>
      <c r="B522" s="61" t="s">
        <v>231</v>
      </c>
      <c r="C522" s="59">
        <v>47</v>
      </c>
      <c r="D522" s="59">
        <v>0.06</v>
      </c>
      <c r="E522" s="59">
        <v>0.11</v>
      </c>
      <c r="F522" s="59">
        <v>11.68</v>
      </c>
      <c r="G522" s="59">
        <v>0.1</v>
      </c>
      <c r="H522" s="101" t="s">
        <v>101</v>
      </c>
      <c r="I522" s="101">
        <v>31</v>
      </c>
      <c r="J522" s="109">
        <f t="shared" ref="J522:J554" si="15">I522*VLOOKUP(H522,Fractional,2,FALSE)</f>
        <v>3.875</v>
      </c>
      <c r="K522" s="171">
        <v>31</v>
      </c>
      <c r="L522" s="143" t="s">
        <v>512</v>
      </c>
      <c r="M522" s="170"/>
    </row>
    <row r="523" spans="1:13">
      <c r="A523" s="2"/>
      <c r="B523" s="61" t="s">
        <v>232</v>
      </c>
      <c r="C523" s="59">
        <v>38</v>
      </c>
      <c r="D523" s="59">
        <v>0.3</v>
      </c>
      <c r="E523" s="59">
        <v>0.6</v>
      </c>
      <c r="F523" s="59">
        <v>7.8</v>
      </c>
      <c r="G523" s="59">
        <v>0.1</v>
      </c>
      <c r="H523" s="146">
        <v>0</v>
      </c>
      <c r="I523" s="146">
        <v>0</v>
      </c>
      <c r="J523" s="110">
        <f t="shared" si="15"/>
        <v>0</v>
      </c>
      <c r="K523" s="172">
        <v>0</v>
      </c>
      <c r="L523" s="142" t="s">
        <v>512</v>
      </c>
      <c r="M523" s="170"/>
    </row>
    <row r="524" spans="1:13">
      <c r="A524" s="2"/>
      <c r="B524" s="61" t="s">
        <v>914</v>
      </c>
      <c r="C524" s="59">
        <v>1</v>
      </c>
      <c r="D524" s="59">
        <v>0.12</v>
      </c>
      <c r="E524" s="59">
        <v>0</v>
      </c>
      <c r="F524" s="59">
        <v>0.15</v>
      </c>
      <c r="G524" s="59">
        <v>0</v>
      </c>
      <c r="H524" s="59" t="s">
        <v>269</v>
      </c>
      <c r="I524" s="59">
        <v>29.6</v>
      </c>
      <c r="J524" s="109">
        <f t="shared" si="15"/>
        <v>7.4</v>
      </c>
      <c r="K524" s="172">
        <v>29.6</v>
      </c>
      <c r="L524" s="142" t="s">
        <v>579</v>
      </c>
      <c r="M524" s="170"/>
    </row>
    <row r="525" spans="1:13">
      <c r="A525" s="2"/>
      <c r="B525" s="61" t="s">
        <v>779</v>
      </c>
      <c r="C525" s="59">
        <v>1</v>
      </c>
      <c r="D525" s="59">
        <v>0.12</v>
      </c>
      <c r="E525" s="59">
        <v>0.02</v>
      </c>
      <c r="F525" s="59">
        <v>0</v>
      </c>
      <c r="G525" s="59">
        <v>0</v>
      </c>
      <c r="H525" s="59" t="s">
        <v>1447</v>
      </c>
      <c r="I525" s="59">
        <v>237</v>
      </c>
      <c r="J525" s="109">
        <f t="shared" si="15"/>
        <v>29.625</v>
      </c>
      <c r="K525" s="172">
        <v>237</v>
      </c>
      <c r="L525" s="142" t="s">
        <v>512</v>
      </c>
      <c r="M525" s="170"/>
    </row>
    <row r="526" spans="1:13">
      <c r="A526" s="2"/>
      <c r="B526" s="61" t="s">
        <v>233</v>
      </c>
      <c r="C526" s="59">
        <v>54</v>
      </c>
      <c r="D526" s="59">
        <v>0</v>
      </c>
      <c r="E526" s="59">
        <v>0.1</v>
      </c>
      <c r="F526" s="59">
        <v>13.52</v>
      </c>
      <c r="G526" s="59">
        <v>0</v>
      </c>
      <c r="H526" s="59" t="s">
        <v>1447</v>
      </c>
      <c r="I526" s="59">
        <v>253</v>
      </c>
      <c r="J526" s="109">
        <f t="shared" si="15"/>
        <v>31.625</v>
      </c>
      <c r="K526" s="172">
        <v>253</v>
      </c>
      <c r="L526" s="142" t="s">
        <v>512</v>
      </c>
      <c r="M526" s="170"/>
    </row>
    <row r="527" spans="1:13">
      <c r="A527" s="2"/>
      <c r="B527" s="61" t="s">
        <v>469</v>
      </c>
      <c r="C527" s="59">
        <v>400</v>
      </c>
      <c r="D527" s="59">
        <v>76.7</v>
      </c>
      <c r="E527" s="59">
        <v>6.7</v>
      </c>
      <c r="F527" s="59">
        <v>10</v>
      </c>
      <c r="G527" s="59"/>
      <c r="H527" s="115" t="s">
        <v>470</v>
      </c>
      <c r="I527" s="59">
        <v>30</v>
      </c>
      <c r="J527" s="109">
        <f t="shared" si="15"/>
        <v>7.5</v>
      </c>
      <c r="K527" s="172">
        <v>30</v>
      </c>
      <c r="L527" s="142" t="s">
        <v>580</v>
      </c>
      <c r="M527" s="170"/>
    </row>
    <row r="528" spans="1:13">
      <c r="A528" s="2"/>
      <c r="B528" s="61" t="s">
        <v>234</v>
      </c>
      <c r="C528" s="59">
        <v>52</v>
      </c>
      <c r="D528" s="59">
        <v>0.4</v>
      </c>
      <c r="E528" s="59">
        <v>0.03</v>
      </c>
      <c r="F528" s="59">
        <v>12.77</v>
      </c>
      <c r="G528" s="59">
        <v>0.2</v>
      </c>
      <c r="H528" s="59" t="s">
        <v>101</v>
      </c>
      <c r="I528" s="59">
        <v>250</v>
      </c>
      <c r="J528" s="109">
        <f t="shared" si="15"/>
        <v>31.25</v>
      </c>
      <c r="K528" s="172">
        <v>250</v>
      </c>
      <c r="L528" s="142" t="s">
        <v>512</v>
      </c>
      <c r="M528" s="170"/>
    </row>
    <row r="529" spans="1:13">
      <c r="A529" s="2"/>
      <c r="B529" s="61" t="s">
        <v>780</v>
      </c>
      <c r="C529" s="59">
        <v>11</v>
      </c>
      <c r="D529" s="59">
        <v>0</v>
      </c>
      <c r="E529" s="59">
        <v>0</v>
      </c>
      <c r="F529" s="59">
        <v>3</v>
      </c>
      <c r="G529" s="59">
        <v>0</v>
      </c>
      <c r="H529" s="59" t="s">
        <v>1447</v>
      </c>
      <c r="I529" s="59">
        <v>240</v>
      </c>
      <c r="J529" s="109">
        <f t="shared" si="15"/>
        <v>30</v>
      </c>
      <c r="K529" s="172">
        <v>240</v>
      </c>
      <c r="L529" s="142" t="s">
        <v>512</v>
      </c>
      <c r="M529" s="170"/>
    </row>
    <row r="530" spans="1:13">
      <c r="A530" s="2"/>
      <c r="B530" s="61" t="s">
        <v>781</v>
      </c>
      <c r="C530" s="59">
        <v>1</v>
      </c>
      <c r="D530" s="59">
        <v>0</v>
      </c>
      <c r="E530" s="59">
        <v>0</v>
      </c>
      <c r="F530" s="59">
        <v>0.3</v>
      </c>
      <c r="G530" s="59">
        <v>0</v>
      </c>
      <c r="H530" s="59" t="s">
        <v>1447</v>
      </c>
      <c r="I530" s="59">
        <v>237</v>
      </c>
      <c r="J530" s="109">
        <f t="shared" si="15"/>
        <v>29.625</v>
      </c>
      <c r="K530" s="172">
        <v>237</v>
      </c>
      <c r="L530" s="142" t="s">
        <v>512</v>
      </c>
      <c r="M530" s="170"/>
    </row>
    <row r="531" spans="1:13">
      <c r="A531" s="2"/>
      <c r="B531" s="61" t="s">
        <v>235</v>
      </c>
      <c r="C531" s="59">
        <v>0</v>
      </c>
      <c r="D531" s="59">
        <v>0</v>
      </c>
      <c r="E531" s="59">
        <v>0</v>
      </c>
      <c r="F531" s="59">
        <v>0</v>
      </c>
      <c r="G531" s="59">
        <v>0</v>
      </c>
      <c r="H531" s="59" t="s">
        <v>946</v>
      </c>
      <c r="I531" s="59">
        <v>500</v>
      </c>
      <c r="J531" s="109">
        <f t="shared" si="15"/>
        <v>125</v>
      </c>
      <c r="K531" s="172">
        <v>500</v>
      </c>
      <c r="L531" s="142" t="s">
        <v>581</v>
      </c>
      <c r="M531" s="170"/>
    </row>
    <row r="532" spans="1:13">
      <c r="A532" s="2"/>
      <c r="B532" s="61" t="s">
        <v>236</v>
      </c>
      <c r="C532" s="59">
        <v>0</v>
      </c>
      <c r="D532" s="59">
        <v>0</v>
      </c>
      <c r="E532" s="59">
        <v>0</v>
      </c>
      <c r="F532" s="59">
        <v>0</v>
      </c>
      <c r="G532" s="59">
        <v>0</v>
      </c>
      <c r="H532" s="59" t="s">
        <v>101</v>
      </c>
      <c r="I532" s="59">
        <v>237</v>
      </c>
      <c r="J532" s="109">
        <f t="shared" si="15"/>
        <v>29.625</v>
      </c>
      <c r="K532" s="172">
        <v>237</v>
      </c>
      <c r="L532" s="142" t="s">
        <v>512</v>
      </c>
      <c r="M532" s="170"/>
    </row>
    <row r="533" spans="1:13">
      <c r="A533" s="2"/>
      <c r="B533" s="61" t="s">
        <v>783</v>
      </c>
      <c r="C533" s="59">
        <v>231</v>
      </c>
      <c r="D533" s="59">
        <v>0</v>
      </c>
      <c r="E533" s="59">
        <v>0</v>
      </c>
      <c r="F533" s="59">
        <v>0</v>
      </c>
      <c r="G533" s="59">
        <v>0</v>
      </c>
      <c r="H533" s="59" t="s">
        <v>1437</v>
      </c>
      <c r="I533" s="59">
        <v>27.8</v>
      </c>
      <c r="J533" s="109">
        <f t="shared" si="15"/>
        <v>27.8</v>
      </c>
      <c r="K533" s="172">
        <v>27.8</v>
      </c>
      <c r="L533" s="142" t="s">
        <v>538</v>
      </c>
      <c r="M533" s="170"/>
    </row>
    <row r="534" spans="1:13">
      <c r="A534" s="2"/>
      <c r="B534" s="61" t="s">
        <v>367</v>
      </c>
      <c r="C534" s="59">
        <v>29</v>
      </c>
      <c r="D534" s="59">
        <v>0.24</v>
      </c>
      <c r="E534" s="59">
        <v>0</v>
      </c>
      <c r="F534" s="59">
        <v>1.64</v>
      </c>
      <c r="G534" s="59">
        <v>0</v>
      </c>
      <c r="H534" s="59" t="s">
        <v>1437</v>
      </c>
      <c r="I534" s="59">
        <v>29.5</v>
      </c>
      <c r="J534" s="109">
        <f t="shared" si="15"/>
        <v>29.5</v>
      </c>
      <c r="K534" s="172">
        <v>29.5</v>
      </c>
      <c r="L534" s="142" t="s">
        <v>538</v>
      </c>
      <c r="M534" s="170"/>
    </row>
    <row r="535" spans="1:13">
      <c r="A535" s="2"/>
      <c r="B535" s="61" t="s">
        <v>365</v>
      </c>
      <c r="C535" s="59">
        <v>43</v>
      </c>
      <c r="D535" s="59">
        <v>0.46</v>
      </c>
      <c r="E535" s="59">
        <v>0</v>
      </c>
      <c r="F535" s="59">
        <v>3.55</v>
      </c>
      <c r="G535" s="59">
        <v>0</v>
      </c>
      <c r="H535" s="59" t="s">
        <v>269</v>
      </c>
      <c r="I535" s="59">
        <v>356</v>
      </c>
      <c r="J535" s="109">
        <f t="shared" si="15"/>
        <v>89</v>
      </c>
      <c r="K535" s="172">
        <v>356</v>
      </c>
      <c r="L535" s="142" t="s">
        <v>579</v>
      </c>
      <c r="M535" s="170"/>
    </row>
    <row r="536" spans="1:13">
      <c r="A536" s="2"/>
      <c r="B536" s="61" t="s">
        <v>782</v>
      </c>
      <c r="C536" s="59">
        <v>371</v>
      </c>
      <c r="D536" s="59">
        <v>0</v>
      </c>
      <c r="E536" s="59">
        <v>0.3</v>
      </c>
      <c r="F536" s="59">
        <v>41.6</v>
      </c>
      <c r="G536" s="59">
        <v>0</v>
      </c>
      <c r="H536" s="59" t="s">
        <v>1437</v>
      </c>
      <c r="I536" s="59">
        <v>33.6</v>
      </c>
      <c r="J536" s="109">
        <f t="shared" si="15"/>
        <v>33.6</v>
      </c>
      <c r="K536" s="172">
        <v>33.6</v>
      </c>
      <c r="L536" s="142" t="s">
        <v>538</v>
      </c>
      <c r="M536" s="170"/>
    </row>
    <row r="537" spans="1:13">
      <c r="A537" s="2"/>
      <c r="B537" s="61" t="s">
        <v>1349</v>
      </c>
      <c r="C537" s="59">
        <v>186</v>
      </c>
      <c r="D537" s="59">
        <v>0.06</v>
      </c>
      <c r="E537" s="59">
        <v>0.06</v>
      </c>
      <c r="F537" s="59">
        <v>6.94</v>
      </c>
      <c r="G537" s="59">
        <v>0.1</v>
      </c>
      <c r="H537" s="59" t="s">
        <v>1437</v>
      </c>
      <c r="I537" s="59">
        <v>30.2</v>
      </c>
      <c r="J537" s="109">
        <f t="shared" si="15"/>
        <v>30.2</v>
      </c>
      <c r="K537" s="172">
        <v>30.2</v>
      </c>
      <c r="L537" s="142" t="s">
        <v>538</v>
      </c>
      <c r="M537" s="170"/>
    </row>
    <row r="538" spans="1:13">
      <c r="A538" s="2"/>
      <c r="B538" s="61" t="s">
        <v>784</v>
      </c>
      <c r="C538" s="59">
        <v>174</v>
      </c>
      <c r="D538" s="59">
        <v>0.42</v>
      </c>
      <c r="E538" s="59">
        <v>1.88</v>
      </c>
      <c r="F538" s="59">
        <v>22.66</v>
      </c>
      <c r="G538" s="59">
        <v>0.3</v>
      </c>
      <c r="H538" s="59" t="s">
        <v>1437</v>
      </c>
      <c r="I538" s="59">
        <v>31.4</v>
      </c>
      <c r="J538" s="109">
        <f t="shared" si="15"/>
        <v>31.4</v>
      </c>
      <c r="K538" s="172">
        <v>31.4</v>
      </c>
      <c r="L538" s="142" t="s">
        <v>538</v>
      </c>
      <c r="M538" s="170"/>
    </row>
    <row r="539" spans="1:13">
      <c r="A539" s="2"/>
      <c r="B539" s="61" t="s">
        <v>785</v>
      </c>
      <c r="C539" s="59">
        <v>164</v>
      </c>
      <c r="D539" s="59">
        <v>0.1</v>
      </c>
      <c r="E539" s="59">
        <v>0.02</v>
      </c>
      <c r="F539" s="59">
        <v>15.85</v>
      </c>
      <c r="G539" s="59">
        <v>0</v>
      </c>
      <c r="H539" s="59" t="s">
        <v>1437</v>
      </c>
      <c r="I539" s="59">
        <v>29.4</v>
      </c>
      <c r="J539" s="109">
        <f t="shared" si="15"/>
        <v>29.4</v>
      </c>
      <c r="K539" s="172">
        <v>29.4</v>
      </c>
      <c r="L539" s="142" t="s">
        <v>538</v>
      </c>
      <c r="M539" s="170"/>
    </row>
    <row r="540" spans="1:13">
      <c r="A540" s="2"/>
      <c r="B540" s="61" t="s">
        <v>1053</v>
      </c>
      <c r="C540" s="59">
        <v>85</v>
      </c>
      <c r="D540" s="59">
        <v>7.0000000000000007E-2</v>
      </c>
      <c r="E540" s="59">
        <v>0</v>
      </c>
      <c r="F540" s="59">
        <v>2.61</v>
      </c>
      <c r="G540" s="59">
        <v>0</v>
      </c>
      <c r="H540" s="59" t="s">
        <v>1437</v>
      </c>
      <c r="I540" s="59">
        <v>29.39</v>
      </c>
      <c r="J540" s="109">
        <f t="shared" si="15"/>
        <v>29.39</v>
      </c>
      <c r="K540" s="172">
        <v>29.39</v>
      </c>
      <c r="L540" s="142" t="s">
        <v>538</v>
      </c>
      <c r="M540" s="170"/>
    </row>
    <row r="541" spans="1:13">
      <c r="A541" s="2"/>
      <c r="B541" s="61" t="s">
        <v>1054</v>
      </c>
      <c r="C541" s="59">
        <v>82</v>
      </c>
      <c r="D541" s="59">
        <v>7.0000000000000007E-2</v>
      </c>
      <c r="E541" s="59">
        <v>0</v>
      </c>
      <c r="F541" s="59">
        <v>2.6</v>
      </c>
      <c r="G541" s="59">
        <v>0</v>
      </c>
      <c r="H541" s="59" t="s">
        <v>1437</v>
      </c>
      <c r="I541" s="59">
        <v>29.42</v>
      </c>
      <c r="J541" s="109">
        <f t="shared" si="15"/>
        <v>29.42</v>
      </c>
      <c r="K541" s="172">
        <v>29.42</v>
      </c>
      <c r="L541" s="142" t="s">
        <v>538</v>
      </c>
      <c r="M541" s="170"/>
    </row>
    <row r="542" spans="1:13">
      <c r="A542" s="2"/>
      <c r="B542" s="61" t="s">
        <v>1341</v>
      </c>
      <c r="C542" s="59">
        <v>56</v>
      </c>
      <c r="D542" s="59">
        <v>0.37</v>
      </c>
      <c r="E542" s="59">
        <v>0.09</v>
      </c>
      <c r="F542" s="59">
        <v>14.39</v>
      </c>
      <c r="G542" s="59">
        <v>0.6</v>
      </c>
      <c r="H542" s="59" t="s">
        <v>101</v>
      </c>
      <c r="I542" s="59">
        <v>251</v>
      </c>
      <c r="J542" s="109">
        <f t="shared" si="15"/>
        <v>31.375</v>
      </c>
      <c r="K542" s="172">
        <v>251</v>
      </c>
      <c r="L542" s="142" t="s">
        <v>512</v>
      </c>
      <c r="M542" s="170"/>
    </row>
    <row r="543" spans="1:13">
      <c r="A543" s="2"/>
      <c r="B543" s="61" t="s">
        <v>1055</v>
      </c>
      <c r="C543" s="59">
        <v>0</v>
      </c>
      <c r="D543" s="59">
        <v>0</v>
      </c>
      <c r="E543" s="59">
        <v>0</v>
      </c>
      <c r="F543" s="59">
        <v>0</v>
      </c>
      <c r="G543" s="59">
        <v>0</v>
      </c>
      <c r="H543" s="59" t="s">
        <v>269</v>
      </c>
      <c r="I543" s="59">
        <v>355</v>
      </c>
      <c r="J543" s="109">
        <f t="shared" si="15"/>
        <v>88.75</v>
      </c>
      <c r="K543" s="172">
        <v>355</v>
      </c>
      <c r="L543" s="142" t="s">
        <v>579</v>
      </c>
      <c r="M543" s="170"/>
    </row>
    <row r="544" spans="1:13">
      <c r="A544" s="2"/>
      <c r="B544" s="61" t="s">
        <v>1419</v>
      </c>
      <c r="C544" s="59">
        <v>37</v>
      </c>
      <c r="D544" s="59">
        <v>0</v>
      </c>
      <c r="E544" s="59">
        <v>0</v>
      </c>
      <c r="F544" s="59">
        <v>10</v>
      </c>
      <c r="G544" s="59">
        <v>0</v>
      </c>
      <c r="H544" s="59" t="s">
        <v>269</v>
      </c>
      <c r="I544" s="59">
        <v>355</v>
      </c>
      <c r="J544" s="109">
        <f t="shared" si="15"/>
        <v>88.75</v>
      </c>
      <c r="K544" s="172">
        <v>355</v>
      </c>
      <c r="L544" s="142" t="s">
        <v>579</v>
      </c>
      <c r="M544" s="170"/>
    </row>
    <row r="545" spans="1:13">
      <c r="A545" s="2"/>
      <c r="B545" s="61" t="s">
        <v>1350</v>
      </c>
      <c r="C545" s="59">
        <v>51</v>
      </c>
      <c r="D545" s="59">
        <v>0</v>
      </c>
      <c r="E545" s="59">
        <v>0</v>
      </c>
      <c r="F545" s="59">
        <v>13.3</v>
      </c>
      <c r="G545" s="59">
        <v>0</v>
      </c>
      <c r="H545" s="59" t="s">
        <v>269</v>
      </c>
      <c r="I545" s="59">
        <v>355</v>
      </c>
      <c r="J545" s="109">
        <f t="shared" si="15"/>
        <v>88.75</v>
      </c>
      <c r="K545" s="172">
        <v>355</v>
      </c>
      <c r="L545" s="142" t="s">
        <v>579</v>
      </c>
      <c r="M545" s="170"/>
    </row>
    <row r="546" spans="1:13">
      <c r="A546" s="2"/>
      <c r="B546" s="61" t="s">
        <v>1056</v>
      </c>
      <c r="C546" s="59">
        <v>34</v>
      </c>
      <c r="D546" s="59">
        <v>0</v>
      </c>
      <c r="E546" s="59">
        <v>0</v>
      </c>
      <c r="F546" s="59">
        <v>8.77</v>
      </c>
      <c r="G546" s="59">
        <v>0</v>
      </c>
      <c r="H546" s="59" t="s">
        <v>269</v>
      </c>
      <c r="I546" s="59">
        <v>355</v>
      </c>
      <c r="J546" s="109">
        <f t="shared" si="15"/>
        <v>88.75</v>
      </c>
      <c r="K546" s="172">
        <v>355</v>
      </c>
      <c r="L546" s="142" t="s">
        <v>579</v>
      </c>
      <c r="M546" s="170"/>
    </row>
    <row r="547" spans="1:13">
      <c r="A547" s="2"/>
      <c r="B547" s="61" t="s">
        <v>1057</v>
      </c>
      <c r="C547" s="59">
        <v>43</v>
      </c>
      <c r="D547" s="59">
        <v>0</v>
      </c>
      <c r="E547" s="59">
        <v>0</v>
      </c>
      <c r="F547" s="59">
        <v>11.2</v>
      </c>
      <c r="G547" s="59">
        <v>0</v>
      </c>
      <c r="H547" s="59" t="s">
        <v>269</v>
      </c>
      <c r="I547" s="59">
        <v>355</v>
      </c>
      <c r="J547" s="109">
        <f t="shared" si="15"/>
        <v>88.75</v>
      </c>
      <c r="K547" s="172">
        <v>355</v>
      </c>
      <c r="L547" s="142" t="s">
        <v>579</v>
      </c>
      <c r="M547" s="170"/>
    </row>
    <row r="548" spans="1:13">
      <c r="A548" s="2"/>
      <c r="B548" s="61" t="s">
        <v>786</v>
      </c>
      <c r="C548" s="59">
        <v>41</v>
      </c>
      <c r="D548" s="59">
        <v>0.09</v>
      </c>
      <c r="E548" s="59">
        <v>0</v>
      </c>
      <c r="F548" s="59">
        <v>10.42</v>
      </c>
      <c r="G548" s="59">
        <v>0</v>
      </c>
      <c r="H548" s="59" t="s">
        <v>269</v>
      </c>
      <c r="I548" s="59">
        <v>355</v>
      </c>
      <c r="J548" s="109">
        <f t="shared" si="15"/>
        <v>88.75</v>
      </c>
      <c r="K548" s="172">
        <v>355</v>
      </c>
      <c r="L548" s="142" t="s">
        <v>579</v>
      </c>
      <c r="M548" s="170"/>
    </row>
    <row r="549" spans="1:13">
      <c r="A549" s="2"/>
      <c r="B549" s="61" t="s">
        <v>1058</v>
      </c>
      <c r="C549" s="59">
        <v>48</v>
      </c>
      <c r="D549" s="59">
        <v>0</v>
      </c>
      <c r="E549" s="59">
        <v>0</v>
      </c>
      <c r="F549" s="59">
        <v>12.3</v>
      </c>
      <c r="G549" s="59">
        <v>0</v>
      </c>
      <c r="H549" s="59" t="s">
        <v>269</v>
      </c>
      <c r="I549" s="59">
        <v>355</v>
      </c>
      <c r="J549" s="109">
        <f t="shared" si="15"/>
        <v>88.75</v>
      </c>
      <c r="K549" s="172">
        <v>355</v>
      </c>
      <c r="L549" s="142" t="s">
        <v>579</v>
      </c>
      <c r="M549" s="170"/>
    </row>
    <row r="550" spans="1:13">
      <c r="A550" s="2"/>
      <c r="B550" s="61" t="s">
        <v>1061</v>
      </c>
      <c r="C550" s="59">
        <v>41</v>
      </c>
      <c r="D550" s="59">
        <v>0</v>
      </c>
      <c r="E550" s="59">
        <v>0</v>
      </c>
      <c r="F550" s="59">
        <v>10.6</v>
      </c>
      <c r="G550" s="59">
        <v>0</v>
      </c>
      <c r="H550" s="59" t="s">
        <v>269</v>
      </c>
      <c r="I550" s="59">
        <v>355</v>
      </c>
      <c r="J550" s="109">
        <f t="shared" si="15"/>
        <v>88.75</v>
      </c>
      <c r="K550" s="172">
        <v>355</v>
      </c>
      <c r="L550" s="142" t="s">
        <v>579</v>
      </c>
      <c r="M550" s="170"/>
    </row>
    <row r="551" spans="1:13">
      <c r="A551" s="2"/>
      <c r="B551" s="61" t="s">
        <v>787</v>
      </c>
      <c r="C551" s="59">
        <v>40</v>
      </c>
      <c r="D551" s="59">
        <v>0.05</v>
      </c>
      <c r="E551" s="59">
        <v>0.02</v>
      </c>
      <c r="F551" s="59">
        <v>10.14</v>
      </c>
      <c r="G551" s="59">
        <v>0</v>
      </c>
      <c r="H551" s="59" t="s">
        <v>269</v>
      </c>
      <c r="I551" s="59">
        <v>355</v>
      </c>
      <c r="J551" s="109">
        <f t="shared" si="15"/>
        <v>88.75</v>
      </c>
      <c r="K551" s="172">
        <v>355</v>
      </c>
      <c r="L551" s="142" t="s">
        <v>579</v>
      </c>
      <c r="M551" s="170"/>
    </row>
    <row r="552" spans="1:13">
      <c r="A552" s="2"/>
      <c r="B552" s="61" t="s">
        <v>1060</v>
      </c>
      <c r="C552" s="59">
        <v>34</v>
      </c>
      <c r="D552" s="59">
        <v>0</v>
      </c>
      <c r="E552" s="59">
        <v>0</v>
      </c>
      <c r="F552" s="59">
        <v>8.8000000000000007</v>
      </c>
      <c r="G552" s="59">
        <v>0</v>
      </c>
      <c r="H552" s="59" t="s">
        <v>269</v>
      </c>
      <c r="I552" s="59">
        <v>355</v>
      </c>
      <c r="J552" s="109">
        <f t="shared" si="15"/>
        <v>88.75</v>
      </c>
      <c r="K552" s="172">
        <v>355</v>
      </c>
      <c r="L552" s="142" t="s">
        <v>579</v>
      </c>
      <c r="M552" s="170"/>
    </row>
    <row r="553" spans="1:13">
      <c r="A553" s="2"/>
      <c r="B553" s="61" t="s">
        <v>1359</v>
      </c>
      <c r="C553" s="59">
        <v>127</v>
      </c>
      <c r="D553" s="59">
        <v>3.4</v>
      </c>
      <c r="E553" s="59">
        <v>3.7</v>
      </c>
      <c r="F553" s="59">
        <v>20.5</v>
      </c>
      <c r="G553" s="59">
        <v>1.9</v>
      </c>
      <c r="H553" s="59" t="s">
        <v>947</v>
      </c>
      <c r="I553" s="59">
        <v>282</v>
      </c>
      <c r="J553" s="109">
        <f t="shared" si="15"/>
        <v>141</v>
      </c>
      <c r="K553" s="172">
        <v>23.5</v>
      </c>
      <c r="L553" s="142" t="s">
        <v>538</v>
      </c>
      <c r="M553" s="170"/>
    </row>
    <row r="554" spans="1:13">
      <c r="A554" s="2"/>
      <c r="B554" s="61" t="s">
        <v>370</v>
      </c>
      <c r="C554" s="59">
        <v>279</v>
      </c>
      <c r="D554" s="59">
        <v>2.1</v>
      </c>
      <c r="E554" s="59">
        <v>1.1299999999999999</v>
      </c>
      <c r="F554" s="59">
        <v>65.099999999999994</v>
      </c>
      <c r="G554" s="59">
        <v>2.6</v>
      </c>
      <c r="H554" s="59" t="s">
        <v>271</v>
      </c>
      <c r="I554" s="59">
        <v>39</v>
      </c>
      <c r="J554" s="109">
        <f t="shared" si="15"/>
        <v>9.75</v>
      </c>
      <c r="K554" s="172">
        <v>19.5</v>
      </c>
      <c r="L554" s="148" t="s">
        <v>536</v>
      </c>
      <c r="M554" s="170"/>
    </row>
    <row r="555" spans="1:13">
      <c r="A555" s="2"/>
      <c r="B555" s="61" t="s">
        <v>1355</v>
      </c>
      <c r="C555" s="59">
        <v>162</v>
      </c>
      <c r="D555" s="59">
        <v>1.2</v>
      </c>
      <c r="E555" s="59">
        <v>0.1</v>
      </c>
      <c r="F555" s="59">
        <v>40.200000000000003</v>
      </c>
      <c r="G555" s="59">
        <v>0.2</v>
      </c>
      <c r="H555" s="59" t="s">
        <v>1437</v>
      </c>
      <c r="I555" s="59">
        <v>35</v>
      </c>
      <c r="J555" s="109">
        <f t="shared" ref="J555:J584" si="16">I555*VLOOKUP(H555,Fractional,2,FALSE)</f>
        <v>35</v>
      </c>
      <c r="K555" s="172">
        <v>35</v>
      </c>
      <c r="L555" s="142" t="s">
        <v>538</v>
      </c>
      <c r="M555" s="170"/>
    </row>
    <row r="556" spans="1:13">
      <c r="A556" s="2"/>
      <c r="B556" s="61" t="s">
        <v>1351</v>
      </c>
      <c r="C556" s="59">
        <v>48</v>
      </c>
      <c r="D556" s="59">
        <v>0.6</v>
      </c>
      <c r="E556" s="59">
        <v>0.2</v>
      </c>
      <c r="F556" s="59">
        <v>10.95</v>
      </c>
      <c r="G556" s="59">
        <v>0.4</v>
      </c>
      <c r="H556" s="59" t="s">
        <v>1437</v>
      </c>
      <c r="I556" s="59">
        <v>30</v>
      </c>
      <c r="J556" s="109">
        <f t="shared" si="16"/>
        <v>30</v>
      </c>
      <c r="K556" s="172">
        <v>30</v>
      </c>
      <c r="L556" s="142" t="s">
        <v>538</v>
      </c>
      <c r="M556" s="170"/>
    </row>
    <row r="557" spans="1:13">
      <c r="A557" s="2"/>
      <c r="B557" s="61" t="s">
        <v>788</v>
      </c>
      <c r="C557" s="59">
        <v>257</v>
      </c>
      <c r="D557" s="59">
        <v>9</v>
      </c>
      <c r="E557" s="59">
        <v>13.21</v>
      </c>
      <c r="F557" s="59">
        <v>71.400000000000006</v>
      </c>
      <c r="G557" s="59">
        <v>4.8</v>
      </c>
      <c r="H557" s="59" t="s">
        <v>371</v>
      </c>
      <c r="I557" s="59">
        <v>6.5</v>
      </c>
      <c r="J557" s="110">
        <f t="shared" si="16"/>
        <v>6.5</v>
      </c>
      <c r="K557" s="172">
        <v>6.5</v>
      </c>
      <c r="L557" s="142" t="s">
        <v>582</v>
      </c>
      <c r="M557" s="170"/>
    </row>
    <row r="558" spans="1:13">
      <c r="A558" s="2"/>
      <c r="B558" s="61" t="s">
        <v>789</v>
      </c>
      <c r="C558" s="59">
        <v>0</v>
      </c>
      <c r="D558" s="59">
        <v>0.1</v>
      </c>
      <c r="E558" s="59">
        <v>0</v>
      </c>
      <c r="F558" s="59">
        <v>0</v>
      </c>
      <c r="G558" s="59">
        <v>0</v>
      </c>
      <c r="H558" s="59" t="s">
        <v>1447</v>
      </c>
      <c r="I558" s="59">
        <v>237</v>
      </c>
      <c r="J558" s="109">
        <f t="shared" si="16"/>
        <v>29.625</v>
      </c>
      <c r="K558" s="172">
        <v>237</v>
      </c>
      <c r="L558" s="142" t="s">
        <v>512</v>
      </c>
      <c r="M558" s="170"/>
    </row>
    <row r="559" spans="1:13">
      <c r="A559" s="2"/>
      <c r="B559" s="61" t="s">
        <v>790</v>
      </c>
      <c r="C559" s="59">
        <v>2</v>
      </c>
      <c r="D559" s="59">
        <v>0.12</v>
      </c>
      <c r="E559" s="59">
        <v>0.18</v>
      </c>
      <c r="F559" s="59">
        <v>0</v>
      </c>
      <c r="G559" s="59">
        <v>0</v>
      </c>
      <c r="H559" s="59" t="s">
        <v>366</v>
      </c>
      <c r="I559" s="59">
        <v>30</v>
      </c>
      <c r="J559" s="110">
        <f t="shared" si="16"/>
        <v>15</v>
      </c>
      <c r="K559" s="172">
        <v>30</v>
      </c>
      <c r="L559" s="142" t="s">
        <v>538</v>
      </c>
      <c r="M559" s="170"/>
    </row>
    <row r="560" spans="1:13">
      <c r="A560" s="2"/>
      <c r="B560" s="61" t="s">
        <v>1352</v>
      </c>
      <c r="C560" s="59">
        <v>63</v>
      </c>
      <c r="D560" s="59">
        <v>0</v>
      </c>
      <c r="E560" s="59">
        <v>0.11</v>
      </c>
      <c r="F560" s="59">
        <v>15.85</v>
      </c>
      <c r="G560" s="59">
        <v>0</v>
      </c>
      <c r="H560" s="59" t="s">
        <v>1447</v>
      </c>
      <c r="I560" s="59">
        <v>245</v>
      </c>
      <c r="J560" s="109">
        <f t="shared" si="16"/>
        <v>30.625</v>
      </c>
      <c r="K560" s="172">
        <v>245</v>
      </c>
      <c r="L560" s="142" t="s">
        <v>512</v>
      </c>
      <c r="M560" s="170"/>
    </row>
    <row r="561" spans="1:13">
      <c r="A561" s="2"/>
      <c r="B561" s="61" t="s">
        <v>1353</v>
      </c>
      <c r="C561" s="59">
        <v>64</v>
      </c>
      <c r="D561" s="59">
        <v>0.2</v>
      </c>
      <c r="E561" s="59">
        <v>0</v>
      </c>
      <c r="F561" s="59">
        <v>16.2</v>
      </c>
      <c r="G561" s="59">
        <v>0.1</v>
      </c>
      <c r="H561" s="59" t="s">
        <v>1447</v>
      </c>
      <c r="I561" s="59">
        <v>245</v>
      </c>
      <c r="J561" s="109">
        <f t="shared" si="16"/>
        <v>30.625</v>
      </c>
      <c r="K561" s="172">
        <v>245</v>
      </c>
      <c r="L561" s="142" t="s">
        <v>512</v>
      </c>
      <c r="M561" s="170"/>
    </row>
    <row r="562" spans="1:13">
      <c r="A562" s="2"/>
      <c r="B562" s="61" t="s">
        <v>1354</v>
      </c>
      <c r="C562" s="59">
        <v>56</v>
      </c>
      <c r="D562" s="59">
        <v>0.2</v>
      </c>
      <c r="E562" s="59">
        <v>0.1</v>
      </c>
      <c r="F562" s="59">
        <v>14</v>
      </c>
      <c r="G562" s="59">
        <v>0.1</v>
      </c>
      <c r="H562" s="59" t="s">
        <v>1447</v>
      </c>
      <c r="I562" s="59">
        <v>31</v>
      </c>
      <c r="J562" s="109">
        <f t="shared" si="16"/>
        <v>3.875</v>
      </c>
      <c r="K562" s="172">
        <v>31</v>
      </c>
      <c r="L562" s="142" t="s">
        <v>512</v>
      </c>
      <c r="M562" s="170"/>
    </row>
    <row r="563" spans="1:13">
      <c r="A563" s="2"/>
      <c r="B563" s="61" t="s">
        <v>1436</v>
      </c>
      <c r="C563" s="59">
        <v>95</v>
      </c>
      <c r="D563" s="59">
        <v>2.93</v>
      </c>
      <c r="E563" s="59">
        <v>3.02</v>
      </c>
      <c r="F563" s="59">
        <v>14.2</v>
      </c>
      <c r="G563" s="59">
        <v>0</v>
      </c>
      <c r="H563" s="59" t="s">
        <v>101</v>
      </c>
      <c r="I563" s="59">
        <v>254</v>
      </c>
      <c r="J563" s="110">
        <f t="shared" si="16"/>
        <v>31.75</v>
      </c>
      <c r="K563" s="172">
        <v>254</v>
      </c>
      <c r="L563" s="142" t="s">
        <v>512</v>
      </c>
      <c r="M563" s="170"/>
    </row>
    <row r="564" spans="1:13">
      <c r="A564" s="2"/>
      <c r="B564" s="61" t="s">
        <v>793</v>
      </c>
      <c r="C564" s="59">
        <v>45</v>
      </c>
      <c r="D564" s="59">
        <v>0.25</v>
      </c>
      <c r="E564" s="59">
        <v>0.08</v>
      </c>
      <c r="F564" s="59">
        <v>10.94</v>
      </c>
      <c r="G564" s="59">
        <v>0</v>
      </c>
      <c r="H564" s="59" t="s">
        <v>1059</v>
      </c>
      <c r="I564" s="59">
        <v>250</v>
      </c>
      <c r="J564" s="110">
        <f t="shared" si="16"/>
        <v>62.5</v>
      </c>
      <c r="K564" s="172">
        <v>30.120481927710841</v>
      </c>
      <c r="L564" s="142" t="s">
        <v>538</v>
      </c>
      <c r="M564" s="170"/>
    </row>
    <row r="565" spans="1:13">
      <c r="A565" s="2"/>
      <c r="B565" s="61" t="s">
        <v>173</v>
      </c>
      <c r="C565" s="59">
        <v>5</v>
      </c>
      <c r="D565" s="59">
        <v>0.25</v>
      </c>
      <c r="E565" s="59">
        <v>0.08</v>
      </c>
      <c r="F565" s="59">
        <v>0.7</v>
      </c>
      <c r="G565" s="62"/>
      <c r="H565" s="59" t="s">
        <v>1059</v>
      </c>
      <c r="I565" s="59">
        <v>250</v>
      </c>
      <c r="J565" s="110">
        <f t="shared" si="16"/>
        <v>62.5</v>
      </c>
      <c r="K565" s="172">
        <v>30.120481927710841</v>
      </c>
      <c r="L565" s="142" t="s">
        <v>538</v>
      </c>
      <c r="M565" s="170"/>
    </row>
    <row r="566" spans="1:13">
      <c r="A566" s="2"/>
      <c r="B566" s="61" t="s">
        <v>1356</v>
      </c>
      <c r="C566" s="59">
        <v>48</v>
      </c>
      <c r="D566" s="59">
        <v>0</v>
      </c>
      <c r="E566" s="59">
        <v>0</v>
      </c>
      <c r="F566" s="59">
        <v>11.97</v>
      </c>
      <c r="G566" s="59">
        <v>0</v>
      </c>
      <c r="H566" s="59" t="s">
        <v>101</v>
      </c>
      <c r="I566" s="59">
        <v>245</v>
      </c>
      <c r="J566" s="110">
        <f t="shared" si="16"/>
        <v>30.625</v>
      </c>
      <c r="K566" s="172">
        <v>245</v>
      </c>
      <c r="L566" s="142" t="s">
        <v>512</v>
      </c>
      <c r="M566" s="170"/>
    </row>
    <row r="567" spans="1:13">
      <c r="A567" s="2"/>
      <c r="B567" s="61" t="s">
        <v>791</v>
      </c>
      <c r="C567" s="59">
        <v>50</v>
      </c>
      <c r="D567" s="59">
        <v>0.51</v>
      </c>
      <c r="E567" s="59">
        <v>0.03</v>
      </c>
      <c r="F567" s="59">
        <v>13.05</v>
      </c>
      <c r="G567" s="59">
        <v>1</v>
      </c>
      <c r="H567" s="59" t="s">
        <v>101</v>
      </c>
      <c r="I567" s="59">
        <v>250</v>
      </c>
      <c r="J567" s="110">
        <f t="shared" si="16"/>
        <v>31.25</v>
      </c>
      <c r="K567" s="172">
        <v>250</v>
      </c>
      <c r="L567" s="142" t="s">
        <v>512</v>
      </c>
      <c r="M567" s="170"/>
    </row>
    <row r="568" spans="1:13">
      <c r="A568" s="2"/>
      <c r="B568" s="61" t="s">
        <v>1357</v>
      </c>
      <c r="C568" s="59">
        <v>57</v>
      </c>
      <c r="D568" s="59">
        <v>0</v>
      </c>
      <c r="E568" s="59">
        <v>0</v>
      </c>
      <c r="F568" s="59">
        <v>14.55</v>
      </c>
      <c r="G568" s="59">
        <v>0.1</v>
      </c>
      <c r="H568" s="59" t="s">
        <v>1447</v>
      </c>
      <c r="I568" s="59">
        <v>250</v>
      </c>
      <c r="J568" s="109">
        <f t="shared" si="16"/>
        <v>31.25</v>
      </c>
      <c r="K568" s="172">
        <v>250</v>
      </c>
      <c r="L568" s="142" t="s">
        <v>512</v>
      </c>
      <c r="M568" s="170"/>
    </row>
    <row r="569" spans="1:13">
      <c r="A569" s="2"/>
      <c r="B569" s="61" t="s">
        <v>1342</v>
      </c>
      <c r="C569" s="59">
        <v>38</v>
      </c>
      <c r="D569" s="59">
        <v>0.52</v>
      </c>
      <c r="E569" s="59">
        <v>0.1</v>
      </c>
      <c r="F569" s="59">
        <v>8.9600000000000009</v>
      </c>
      <c r="G569" s="59">
        <v>0.1</v>
      </c>
      <c r="H569" s="59" t="s">
        <v>101</v>
      </c>
      <c r="I569" s="59">
        <v>250</v>
      </c>
      <c r="J569" s="109">
        <f t="shared" si="16"/>
        <v>31.25</v>
      </c>
      <c r="K569" s="172">
        <v>250</v>
      </c>
      <c r="L569" s="142" t="s">
        <v>512</v>
      </c>
      <c r="M569" s="170"/>
    </row>
    <row r="570" spans="1:13">
      <c r="A570" s="2"/>
      <c r="B570" s="61" t="s">
        <v>279</v>
      </c>
      <c r="C570" s="59">
        <v>25</v>
      </c>
      <c r="D570" s="59">
        <v>0.38</v>
      </c>
      <c r="E570" s="59">
        <v>0</v>
      </c>
      <c r="F570" s="59">
        <v>8.6300000000000008</v>
      </c>
      <c r="G570" s="59">
        <v>0.4</v>
      </c>
      <c r="H570" s="59" t="s">
        <v>101</v>
      </c>
      <c r="I570" s="59">
        <v>244</v>
      </c>
      <c r="J570" s="109">
        <f t="shared" si="16"/>
        <v>30.5</v>
      </c>
      <c r="K570" s="172">
        <v>244</v>
      </c>
      <c r="L570" s="142" t="s">
        <v>512</v>
      </c>
      <c r="M570" s="170"/>
    </row>
    <row r="571" spans="1:13">
      <c r="A571" s="2"/>
      <c r="B571" s="61" t="s">
        <v>1358</v>
      </c>
      <c r="C571" s="59">
        <v>37</v>
      </c>
      <c r="D571" s="59">
        <v>0</v>
      </c>
      <c r="E571" s="59">
        <v>0</v>
      </c>
      <c r="F571" s="59">
        <v>9.7200000000000006</v>
      </c>
      <c r="G571" s="59">
        <v>0</v>
      </c>
      <c r="H571" s="59" t="s">
        <v>372</v>
      </c>
      <c r="I571" s="59">
        <v>264</v>
      </c>
      <c r="J571" s="109">
        <f t="shared" si="16"/>
        <v>66</v>
      </c>
      <c r="K571" s="172">
        <v>264</v>
      </c>
      <c r="L571" s="142" t="s">
        <v>512</v>
      </c>
      <c r="M571" s="170"/>
    </row>
    <row r="572" spans="1:13">
      <c r="A572" s="2"/>
      <c r="B572" s="61" t="s">
        <v>281</v>
      </c>
      <c r="C572" s="59">
        <v>25</v>
      </c>
      <c r="D572" s="59">
        <v>0.42</v>
      </c>
      <c r="E572" s="59">
        <v>7.0000000000000007E-2</v>
      </c>
      <c r="F572" s="59">
        <v>8.42</v>
      </c>
      <c r="G572" s="59">
        <v>0.4</v>
      </c>
      <c r="H572" s="59" t="s">
        <v>1437</v>
      </c>
      <c r="I572" s="59">
        <v>31</v>
      </c>
      <c r="J572" s="109">
        <f t="shared" si="16"/>
        <v>31</v>
      </c>
      <c r="K572" s="172">
        <v>31</v>
      </c>
      <c r="L572" s="142" t="s">
        <v>538</v>
      </c>
      <c r="M572" s="170"/>
    </row>
    <row r="573" spans="1:13">
      <c r="A573" s="2"/>
      <c r="B573" s="61" t="s">
        <v>373</v>
      </c>
      <c r="C573" s="59">
        <v>37</v>
      </c>
      <c r="D573" s="59">
        <v>0.21</v>
      </c>
      <c r="E573" s="59">
        <v>0.12</v>
      </c>
      <c r="F573" s="59">
        <v>8.0500000000000007</v>
      </c>
      <c r="G573" s="59">
        <v>0</v>
      </c>
      <c r="H573" s="59" t="s">
        <v>101</v>
      </c>
      <c r="I573" s="59">
        <v>237</v>
      </c>
      <c r="J573" s="109">
        <f t="shared" si="16"/>
        <v>29.625</v>
      </c>
      <c r="K573" s="172">
        <v>237</v>
      </c>
      <c r="L573" s="142" t="s">
        <v>512</v>
      </c>
      <c r="M573" s="170"/>
    </row>
    <row r="574" spans="1:13">
      <c r="A574" s="2"/>
      <c r="B574" s="61" t="s">
        <v>1343</v>
      </c>
      <c r="C574" s="59">
        <v>42</v>
      </c>
      <c r="D574" s="59">
        <v>0.59</v>
      </c>
      <c r="E574" s="59">
        <v>0.14000000000000001</v>
      </c>
      <c r="F574" s="59">
        <v>9.85</v>
      </c>
      <c r="G574" s="59">
        <v>0.2</v>
      </c>
      <c r="H574" s="59" t="s">
        <v>101</v>
      </c>
      <c r="I574" s="59">
        <v>250</v>
      </c>
      <c r="J574" s="109">
        <f t="shared" si="16"/>
        <v>31.25</v>
      </c>
      <c r="K574" s="172">
        <v>250</v>
      </c>
      <c r="L574" s="142" t="s">
        <v>512</v>
      </c>
      <c r="M574" s="170"/>
    </row>
    <row r="575" spans="1:13">
      <c r="A575" s="2"/>
      <c r="B575" s="61" t="s">
        <v>1347</v>
      </c>
      <c r="C575" s="59">
        <v>60</v>
      </c>
      <c r="D575" s="59">
        <v>0.67</v>
      </c>
      <c r="E575" s="59">
        <v>0.18</v>
      </c>
      <c r="F575" s="59">
        <v>14.45</v>
      </c>
      <c r="G575" s="59">
        <v>0.2</v>
      </c>
      <c r="H575" s="59" t="s">
        <v>101</v>
      </c>
      <c r="I575" s="59">
        <v>250</v>
      </c>
      <c r="J575" s="109">
        <f t="shared" si="16"/>
        <v>31.25</v>
      </c>
      <c r="K575" s="172">
        <v>250</v>
      </c>
      <c r="L575" s="142" t="s">
        <v>512</v>
      </c>
      <c r="M575" s="170"/>
    </row>
    <row r="576" spans="1:13">
      <c r="A576" s="2"/>
      <c r="B576" s="61" t="s">
        <v>1346</v>
      </c>
      <c r="C576" s="59">
        <v>51</v>
      </c>
      <c r="D576" s="59">
        <v>0.39</v>
      </c>
      <c r="E576" s="59">
        <v>0.05</v>
      </c>
      <c r="F576" s="59">
        <v>13.6</v>
      </c>
      <c r="G576" s="59">
        <v>0.2</v>
      </c>
      <c r="H576" s="59" t="s">
        <v>101</v>
      </c>
      <c r="I576" s="59">
        <v>250</v>
      </c>
      <c r="J576" s="109">
        <f t="shared" si="16"/>
        <v>31.25</v>
      </c>
      <c r="K576" s="172">
        <v>250</v>
      </c>
      <c r="L576" s="142" t="s">
        <v>512</v>
      </c>
      <c r="M576" s="170"/>
    </row>
    <row r="577" spans="1:13">
      <c r="A577" s="2"/>
      <c r="B577" s="61" t="s">
        <v>1348</v>
      </c>
      <c r="C577" s="59">
        <v>60</v>
      </c>
      <c r="D577" s="59">
        <v>0.11</v>
      </c>
      <c r="E577" s="59">
        <v>0.01</v>
      </c>
      <c r="F577" s="59">
        <v>15.76</v>
      </c>
      <c r="G577" s="59">
        <v>0.6</v>
      </c>
      <c r="H577" s="59" t="s">
        <v>101</v>
      </c>
      <c r="I577" s="59">
        <v>250</v>
      </c>
      <c r="J577" s="109">
        <f t="shared" si="16"/>
        <v>31.25</v>
      </c>
      <c r="K577" s="172">
        <v>250</v>
      </c>
      <c r="L577" s="142" t="s">
        <v>512</v>
      </c>
      <c r="M577" s="170"/>
    </row>
    <row r="578" spans="1:13">
      <c r="A578" s="2"/>
      <c r="B578" s="61" t="s">
        <v>294</v>
      </c>
      <c r="C578" s="59">
        <v>71</v>
      </c>
      <c r="D578" s="59">
        <v>0.61</v>
      </c>
      <c r="E578" s="59">
        <v>0.03</v>
      </c>
      <c r="F578" s="59">
        <v>17.45</v>
      </c>
      <c r="G578" s="59">
        <v>1</v>
      </c>
      <c r="H578" s="59" t="s">
        <v>101</v>
      </c>
      <c r="I578" s="59">
        <v>256</v>
      </c>
      <c r="J578" s="109">
        <f t="shared" si="16"/>
        <v>32</v>
      </c>
      <c r="K578" s="172">
        <v>256</v>
      </c>
      <c r="L578" s="142" t="s">
        <v>512</v>
      </c>
      <c r="M578" s="170"/>
    </row>
    <row r="579" spans="1:13">
      <c r="A579" s="2"/>
      <c r="B579" s="61" t="s">
        <v>792</v>
      </c>
      <c r="C579" s="59">
        <v>27</v>
      </c>
      <c r="D579" s="59">
        <v>0</v>
      </c>
      <c r="E579" s="59">
        <v>0.1</v>
      </c>
      <c r="F579" s="59">
        <v>6.76</v>
      </c>
      <c r="G579" s="59">
        <v>0</v>
      </c>
      <c r="H579" s="59" t="s">
        <v>101</v>
      </c>
      <c r="I579" s="59">
        <v>244</v>
      </c>
      <c r="J579" s="109">
        <f t="shared" si="16"/>
        <v>30.5</v>
      </c>
      <c r="K579" s="172">
        <v>244</v>
      </c>
      <c r="L579" s="142" t="s">
        <v>512</v>
      </c>
      <c r="M579" s="170"/>
    </row>
    <row r="580" spans="1:13">
      <c r="A580" s="2"/>
      <c r="B580" s="61" t="s">
        <v>1344</v>
      </c>
      <c r="C580" s="59">
        <v>50</v>
      </c>
      <c r="D580" s="59">
        <v>0.5</v>
      </c>
      <c r="E580" s="59">
        <v>0.2</v>
      </c>
      <c r="F580" s="59">
        <v>12</v>
      </c>
      <c r="G580" s="59">
        <v>0.2</v>
      </c>
      <c r="H580" s="59" t="s">
        <v>101</v>
      </c>
      <c r="I580" s="59">
        <v>250</v>
      </c>
      <c r="J580" s="109">
        <f t="shared" si="16"/>
        <v>31.25</v>
      </c>
      <c r="K580" s="172">
        <v>250</v>
      </c>
      <c r="L580" s="142" t="s">
        <v>512</v>
      </c>
      <c r="M580" s="170"/>
    </row>
    <row r="581" spans="1:13">
      <c r="A581" s="2"/>
      <c r="B581" s="61" t="s">
        <v>794</v>
      </c>
      <c r="C581" s="59">
        <v>39</v>
      </c>
      <c r="D581" s="59">
        <v>0</v>
      </c>
      <c r="E581" s="59">
        <v>0</v>
      </c>
      <c r="F581" s="59">
        <v>9.77</v>
      </c>
      <c r="G581" s="59">
        <v>0</v>
      </c>
      <c r="H581" s="59" t="s">
        <v>101</v>
      </c>
      <c r="I581" s="59">
        <v>245</v>
      </c>
      <c r="J581" s="109">
        <f t="shared" si="16"/>
        <v>30.625</v>
      </c>
      <c r="K581" s="172">
        <v>245</v>
      </c>
      <c r="L581" s="142" t="s">
        <v>512</v>
      </c>
      <c r="M581" s="170"/>
    </row>
    <row r="582" spans="1:13">
      <c r="A582" s="2"/>
      <c r="B582" s="61" t="s">
        <v>795</v>
      </c>
      <c r="C582" s="59">
        <v>35</v>
      </c>
      <c r="D582" s="59">
        <v>0</v>
      </c>
      <c r="E582" s="59">
        <v>0</v>
      </c>
      <c r="F582" s="59">
        <v>8.81</v>
      </c>
      <c r="G582" s="59">
        <v>0</v>
      </c>
      <c r="H582" s="59" t="s">
        <v>101</v>
      </c>
      <c r="I582" s="59">
        <v>245</v>
      </c>
      <c r="J582" s="109">
        <f t="shared" si="16"/>
        <v>30.625</v>
      </c>
      <c r="K582" s="172">
        <v>245</v>
      </c>
      <c r="L582" s="142" t="s">
        <v>512</v>
      </c>
      <c r="M582" s="170"/>
    </row>
    <row r="583" spans="1:13">
      <c r="A583" s="2"/>
      <c r="B583" s="61" t="s">
        <v>1360</v>
      </c>
      <c r="C583" s="59">
        <v>148</v>
      </c>
      <c r="D583" s="59">
        <v>3.37</v>
      </c>
      <c r="E583" s="59">
        <v>6.52</v>
      </c>
      <c r="F583" s="59">
        <v>19.59</v>
      </c>
      <c r="G583" s="59">
        <v>0.9</v>
      </c>
      <c r="H583" s="59" t="s">
        <v>1447</v>
      </c>
      <c r="I583" s="59">
        <v>166</v>
      </c>
      <c r="J583" s="109">
        <f t="shared" si="16"/>
        <v>20.75</v>
      </c>
      <c r="K583" s="172">
        <v>166</v>
      </c>
      <c r="L583" s="142" t="s">
        <v>512</v>
      </c>
      <c r="M583" s="170"/>
    </row>
    <row r="584" spans="1:13" ht="13.5" thickBot="1">
      <c r="A584" s="2"/>
      <c r="B584" s="63" t="s">
        <v>1361</v>
      </c>
      <c r="C584" s="64">
        <v>0</v>
      </c>
      <c r="D584" s="64">
        <v>0</v>
      </c>
      <c r="E584" s="64">
        <v>0</v>
      </c>
      <c r="F584" s="64">
        <v>0</v>
      </c>
      <c r="G584" s="64">
        <v>0</v>
      </c>
      <c r="H584" s="64" t="s">
        <v>101</v>
      </c>
      <c r="I584" s="64">
        <v>250</v>
      </c>
      <c r="J584" s="111">
        <f t="shared" si="16"/>
        <v>31.25</v>
      </c>
      <c r="K584" s="173">
        <v>250</v>
      </c>
      <c r="L584" s="144" t="s">
        <v>512</v>
      </c>
      <c r="M584" s="170"/>
    </row>
    <row r="585" spans="1:13" ht="14.25" thickTop="1" thickBot="1">
      <c r="M585" s="170"/>
    </row>
    <row r="586" spans="1:13" ht="18.75" thickTop="1">
      <c r="B586" s="66" t="s">
        <v>34</v>
      </c>
      <c r="C586" s="67" t="s">
        <v>1474</v>
      </c>
      <c r="D586" s="68" t="s">
        <v>99</v>
      </c>
      <c r="E586" s="67" t="s">
        <v>1475</v>
      </c>
      <c r="F586" s="67" t="s">
        <v>1476</v>
      </c>
      <c r="G586" s="67" t="s">
        <v>1477</v>
      </c>
      <c r="H586" s="68" t="s">
        <v>918</v>
      </c>
      <c r="I586" s="68" t="s">
        <v>919</v>
      </c>
      <c r="J586" s="67" t="s">
        <v>467</v>
      </c>
      <c r="K586" s="67" t="s">
        <v>203</v>
      </c>
      <c r="L586" s="69"/>
      <c r="M586" s="170"/>
    </row>
    <row r="587" spans="1:13">
      <c r="A587" s="2"/>
      <c r="B587" s="61" t="s">
        <v>796</v>
      </c>
      <c r="C587" s="59">
        <v>47</v>
      </c>
      <c r="D587" s="59">
        <v>3.27</v>
      </c>
      <c r="E587" s="59">
        <v>0.15</v>
      </c>
      <c r="F587" s="59">
        <v>10.51</v>
      </c>
      <c r="G587" s="59">
        <v>5.4</v>
      </c>
      <c r="H587" s="101" t="s">
        <v>1033</v>
      </c>
      <c r="I587" s="101">
        <v>128</v>
      </c>
      <c r="J587" s="109">
        <f t="shared" ref="J587:J618" si="17">I587*VLOOKUP(H587,Fractional,2,FALSE)</f>
        <v>32</v>
      </c>
      <c r="K587" s="171">
        <v>128</v>
      </c>
      <c r="L587" s="143" t="s">
        <v>1442</v>
      </c>
      <c r="M587" s="170"/>
    </row>
    <row r="588" spans="1:13">
      <c r="A588" s="2"/>
      <c r="B588" s="61" t="s">
        <v>237</v>
      </c>
      <c r="C588" s="59">
        <v>20</v>
      </c>
      <c r="D588" s="59">
        <v>2.2000000000000002</v>
      </c>
      <c r="E588" s="59">
        <v>0.12</v>
      </c>
      <c r="F588" s="59">
        <v>3.88</v>
      </c>
      <c r="G588" s="59">
        <v>2.1</v>
      </c>
      <c r="H588" s="59" t="s">
        <v>948</v>
      </c>
      <c r="I588" s="59">
        <v>12</v>
      </c>
      <c r="J588" s="109">
        <f t="shared" si="17"/>
        <v>6</v>
      </c>
      <c r="K588" s="172">
        <v>12</v>
      </c>
      <c r="L588" s="142" t="s">
        <v>583</v>
      </c>
      <c r="M588" s="170"/>
    </row>
    <row r="589" spans="1:13">
      <c r="A589" s="2"/>
      <c r="B589" s="61" t="s">
        <v>238</v>
      </c>
      <c r="C589" s="59">
        <v>31</v>
      </c>
      <c r="D589" s="59">
        <v>1.82</v>
      </c>
      <c r="E589" s="59">
        <v>0.12</v>
      </c>
      <c r="F589" s="59">
        <v>7.13</v>
      </c>
      <c r="G589" s="59">
        <v>3.4</v>
      </c>
      <c r="H589" s="59" t="s">
        <v>101</v>
      </c>
      <c r="I589" s="59">
        <v>110</v>
      </c>
      <c r="J589" s="109">
        <f t="shared" si="17"/>
        <v>13.75</v>
      </c>
      <c r="K589" s="172">
        <v>110</v>
      </c>
      <c r="L589" s="142" t="s">
        <v>512</v>
      </c>
      <c r="M589" s="170"/>
    </row>
    <row r="590" spans="1:13">
      <c r="A590" s="2"/>
      <c r="B590" s="61" t="s">
        <v>239</v>
      </c>
      <c r="C590" s="59">
        <v>20</v>
      </c>
      <c r="D590" s="59">
        <v>1.1499999999999999</v>
      </c>
      <c r="E590" s="59">
        <v>0.1</v>
      </c>
      <c r="F590" s="59">
        <v>4.5</v>
      </c>
      <c r="G590" s="59">
        <v>1.3</v>
      </c>
      <c r="H590" s="59" t="s">
        <v>101</v>
      </c>
      <c r="I590" s="59">
        <v>135</v>
      </c>
      <c r="J590" s="109">
        <f t="shared" si="17"/>
        <v>16.875</v>
      </c>
      <c r="K590" s="172">
        <v>135</v>
      </c>
      <c r="L590" s="142" t="s">
        <v>512</v>
      </c>
      <c r="M590" s="170"/>
    </row>
    <row r="591" spans="1:13">
      <c r="A591" s="2"/>
      <c r="B591" s="61" t="s">
        <v>240</v>
      </c>
      <c r="C591" s="59">
        <v>34</v>
      </c>
      <c r="D591" s="59">
        <v>2.82</v>
      </c>
      <c r="E591" s="59">
        <v>0.37</v>
      </c>
      <c r="F591" s="59">
        <v>6.64</v>
      </c>
      <c r="G591" s="59">
        <v>2.6</v>
      </c>
      <c r="H591" s="59" t="s">
        <v>1449</v>
      </c>
      <c r="I591" s="59">
        <v>91</v>
      </c>
      <c r="J591" s="109">
        <f t="shared" si="17"/>
        <v>11.375</v>
      </c>
      <c r="K591" s="172">
        <v>91</v>
      </c>
      <c r="L591" s="142" t="s">
        <v>512</v>
      </c>
      <c r="M591" s="170"/>
    </row>
    <row r="592" spans="1:13">
      <c r="A592" s="2"/>
      <c r="B592" s="61" t="s">
        <v>241</v>
      </c>
      <c r="C592" s="59">
        <v>43</v>
      </c>
      <c r="D592" s="59">
        <v>3.38</v>
      </c>
      <c r="E592" s="59">
        <v>0.3</v>
      </c>
      <c r="F592" s="59">
        <v>8.9499999999999993</v>
      </c>
      <c r="G592" s="59">
        <v>3.8</v>
      </c>
      <c r="H592" s="59" t="s">
        <v>1034</v>
      </c>
      <c r="I592" s="59">
        <v>19</v>
      </c>
      <c r="J592" s="109">
        <f t="shared" si="17"/>
        <v>9.5</v>
      </c>
      <c r="K592" s="172">
        <v>19</v>
      </c>
      <c r="L592" s="142" t="s">
        <v>584</v>
      </c>
      <c r="M592" s="170"/>
    </row>
    <row r="593" spans="1:13">
      <c r="A593" s="2"/>
      <c r="B593" s="61" t="s">
        <v>242</v>
      </c>
      <c r="C593" s="59">
        <v>106</v>
      </c>
      <c r="D593" s="59">
        <v>8.9600000000000009</v>
      </c>
      <c r="E593" s="59">
        <v>0.55000000000000004</v>
      </c>
      <c r="F593" s="59">
        <v>22.14</v>
      </c>
      <c r="G593" s="62"/>
      <c r="H593" s="59" t="s">
        <v>101</v>
      </c>
      <c r="I593" s="59">
        <v>77</v>
      </c>
      <c r="J593" s="110">
        <f t="shared" si="17"/>
        <v>9.625</v>
      </c>
      <c r="K593" s="172">
        <v>77</v>
      </c>
      <c r="L593" s="142" t="s">
        <v>512</v>
      </c>
      <c r="M593" s="170"/>
    </row>
    <row r="594" spans="1:13">
      <c r="A594" s="2"/>
      <c r="B594" s="61" t="s">
        <v>243</v>
      </c>
      <c r="C594" s="59">
        <v>17</v>
      </c>
      <c r="D594" s="59">
        <v>1.23</v>
      </c>
      <c r="E594" s="59">
        <v>0.3</v>
      </c>
      <c r="F594" s="59">
        <v>3.29</v>
      </c>
      <c r="G594" s="59">
        <v>2.1</v>
      </c>
      <c r="H594" s="59" t="s">
        <v>107</v>
      </c>
      <c r="I594" s="59">
        <v>47</v>
      </c>
      <c r="J594" s="109">
        <f t="shared" si="17"/>
        <v>5.875</v>
      </c>
      <c r="K594" s="172">
        <v>47</v>
      </c>
      <c r="L594" s="142" t="s">
        <v>512</v>
      </c>
      <c r="M594" s="170"/>
    </row>
    <row r="595" spans="1:13">
      <c r="A595" s="2"/>
      <c r="B595" s="61" t="s">
        <v>244</v>
      </c>
      <c r="C595" s="59">
        <v>20</v>
      </c>
      <c r="D595" s="59">
        <v>0.86</v>
      </c>
      <c r="E595" s="59">
        <v>0.17</v>
      </c>
      <c r="F595" s="59">
        <v>4.6399999999999997</v>
      </c>
      <c r="G595" s="59">
        <v>1.7</v>
      </c>
      <c r="H595" s="59" t="s">
        <v>1449</v>
      </c>
      <c r="I595" s="59">
        <v>150</v>
      </c>
      <c r="J595" s="109">
        <f t="shared" si="17"/>
        <v>18.75</v>
      </c>
      <c r="K595" s="172">
        <v>150</v>
      </c>
      <c r="L595" s="142" t="s">
        <v>512</v>
      </c>
      <c r="M595" s="170"/>
    </row>
    <row r="596" spans="1:13">
      <c r="A596" s="2"/>
      <c r="B596" s="61" t="s">
        <v>797</v>
      </c>
      <c r="C596" s="59">
        <v>18</v>
      </c>
      <c r="D596" s="59">
        <v>0.8</v>
      </c>
      <c r="E596" s="59">
        <v>0.3</v>
      </c>
      <c r="F596" s="59">
        <v>3.9</v>
      </c>
      <c r="G596" s="59">
        <v>1.2</v>
      </c>
      <c r="H596" s="59" t="s">
        <v>80</v>
      </c>
      <c r="I596" s="59">
        <v>140</v>
      </c>
      <c r="J596" s="109">
        <f t="shared" si="17"/>
        <v>17.5</v>
      </c>
      <c r="K596" s="172">
        <v>140</v>
      </c>
      <c r="L596" s="142" t="s">
        <v>512</v>
      </c>
      <c r="M596" s="170"/>
    </row>
    <row r="597" spans="1:13">
      <c r="A597" s="2"/>
      <c r="B597" s="61" t="s">
        <v>245</v>
      </c>
      <c r="C597" s="59">
        <v>12</v>
      </c>
      <c r="D597" s="59">
        <v>0.6</v>
      </c>
      <c r="E597" s="59">
        <v>0.14000000000000001</v>
      </c>
      <c r="F597" s="59">
        <v>2.59</v>
      </c>
      <c r="G597" s="59">
        <v>1.1000000000000001</v>
      </c>
      <c r="H597" s="59" t="s">
        <v>154</v>
      </c>
      <c r="I597" s="59">
        <v>143</v>
      </c>
      <c r="J597" s="109">
        <f t="shared" si="17"/>
        <v>35.75</v>
      </c>
      <c r="K597" s="172">
        <v>143</v>
      </c>
      <c r="L597" s="142" t="s">
        <v>512</v>
      </c>
      <c r="M597" s="170"/>
    </row>
    <row r="598" spans="1:13">
      <c r="A598" s="2"/>
      <c r="B598" s="61" t="s">
        <v>246</v>
      </c>
      <c r="C598" s="59">
        <v>23</v>
      </c>
      <c r="D598" s="59">
        <v>2.86</v>
      </c>
      <c r="E598" s="59">
        <v>0.39</v>
      </c>
      <c r="F598" s="59">
        <v>3.63</v>
      </c>
      <c r="G598" s="59">
        <v>2.2000000000000002</v>
      </c>
      <c r="H598" s="59" t="s">
        <v>101</v>
      </c>
      <c r="I598" s="59">
        <v>30</v>
      </c>
      <c r="J598" s="109">
        <f t="shared" si="17"/>
        <v>3.75</v>
      </c>
      <c r="K598" s="172">
        <v>30</v>
      </c>
      <c r="L598" s="142" t="s">
        <v>512</v>
      </c>
      <c r="M598" s="170"/>
    </row>
    <row r="599" spans="1:13">
      <c r="A599" s="2"/>
      <c r="B599" s="61" t="s">
        <v>247</v>
      </c>
      <c r="C599" s="59">
        <v>31</v>
      </c>
      <c r="D599" s="59">
        <v>0.64</v>
      </c>
      <c r="E599" s="59">
        <v>0.56999999999999995</v>
      </c>
      <c r="F599" s="59">
        <v>6.91</v>
      </c>
      <c r="G599" s="62"/>
      <c r="H599" s="59" t="s">
        <v>168</v>
      </c>
      <c r="I599" s="59">
        <v>100</v>
      </c>
      <c r="J599" s="110">
        <f t="shared" si="17"/>
        <v>12.5</v>
      </c>
      <c r="K599" s="172">
        <v>100</v>
      </c>
      <c r="L599" s="142" t="s">
        <v>512</v>
      </c>
      <c r="M599" s="170"/>
    </row>
    <row r="600" spans="1:13">
      <c r="A600" s="2"/>
      <c r="B600" s="61" t="s">
        <v>248</v>
      </c>
      <c r="C600" s="59">
        <v>86</v>
      </c>
      <c r="D600" s="59">
        <v>1.57</v>
      </c>
      <c r="E600" s="59">
        <v>0.05</v>
      </c>
      <c r="F600" s="59">
        <v>20.12</v>
      </c>
      <c r="G600" s="59">
        <v>3</v>
      </c>
      <c r="H600" s="59" t="s">
        <v>949</v>
      </c>
      <c r="I600" s="59">
        <v>130</v>
      </c>
      <c r="J600" s="109">
        <f t="shared" si="17"/>
        <v>32.5</v>
      </c>
      <c r="K600" s="172">
        <v>130</v>
      </c>
      <c r="L600" s="142" t="s">
        <v>585</v>
      </c>
      <c r="M600" s="170"/>
    </row>
    <row r="601" spans="1:13">
      <c r="A601" s="2"/>
      <c r="B601" s="61" t="s">
        <v>798</v>
      </c>
      <c r="C601" s="59">
        <v>30</v>
      </c>
      <c r="D601" s="59">
        <v>5.3</v>
      </c>
      <c r="E601" s="59">
        <v>0.69</v>
      </c>
      <c r="F601" s="59">
        <v>3.29</v>
      </c>
      <c r="G601" s="62"/>
      <c r="H601" s="59" t="s">
        <v>920</v>
      </c>
      <c r="I601" s="59">
        <v>24</v>
      </c>
      <c r="J601" s="109">
        <f t="shared" si="17"/>
        <v>6</v>
      </c>
      <c r="K601" s="172">
        <v>48</v>
      </c>
      <c r="L601" s="148" t="s">
        <v>512</v>
      </c>
      <c r="M601" s="170"/>
    </row>
    <row r="602" spans="1:13">
      <c r="A602" s="2"/>
      <c r="B602" s="61" t="s">
        <v>325</v>
      </c>
      <c r="C602" s="59">
        <v>27</v>
      </c>
      <c r="D602" s="59">
        <v>2.6</v>
      </c>
      <c r="E602" s="59">
        <v>0.3</v>
      </c>
      <c r="F602" s="59">
        <v>5.2</v>
      </c>
      <c r="G602" s="59">
        <v>2.2000000000000002</v>
      </c>
      <c r="H602" s="59" t="s">
        <v>326</v>
      </c>
      <c r="I602" s="59">
        <v>151</v>
      </c>
      <c r="J602" s="109">
        <f t="shared" si="17"/>
        <v>18.875</v>
      </c>
      <c r="K602" s="172">
        <v>151</v>
      </c>
      <c r="L602" s="142" t="s">
        <v>512</v>
      </c>
      <c r="M602" s="170"/>
    </row>
    <row r="603" spans="1:13">
      <c r="A603" s="2"/>
      <c r="B603" s="61" t="s">
        <v>1417</v>
      </c>
      <c r="C603" s="59">
        <v>105</v>
      </c>
      <c r="D603" s="59">
        <v>5</v>
      </c>
      <c r="E603" s="59">
        <v>0</v>
      </c>
      <c r="F603" s="59">
        <v>20</v>
      </c>
      <c r="G603" s="59">
        <v>5</v>
      </c>
      <c r="H603" s="59" t="s">
        <v>950</v>
      </c>
      <c r="I603" s="59">
        <v>253</v>
      </c>
      <c r="J603" s="109">
        <f t="shared" si="17"/>
        <v>31.625</v>
      </c>
      <c r="K603" s="172">
        <v>253</v>
      </c>
      <c r="L603" s="142" t="s">
        <v>512</v>
      </c>
      <c r="M603" s="170"/>
    </row>
    <row r="604" spans="1:13">
      <c r="A604" s="2"/>
      <c r="B604" s="61" t="s">
        <v>799</v>
      </c>
      <c r="C604" s="59">
        <v>29</v>
      </c>
      <c r="D604" s="59">
        <v>4.2</v>
      </c>
      <c r="E604" s="59">
        <v>0.5</v>
      </c>
      <c r="F604" s="59">
        <v>4.0999999999999996</v>
      </c>
      <c r="G604" s="62"/>
      <c r="H604" s="59" t="s">
        <v>101</v>
      </c>
      <c r="I604" s="59">
        <v>184</v>
      </c>
      <c r="J604" s="110">
        <f t="shared" si="17"/>
        <v>23</v>
      </c>
      <c r="K604" s="172">
        <v>184</v>
      </c>
      <c r="L604" s="142" t="s">
        <v>512</v>
      </c>
      <c r="M604" s="170"/>
    </row>
    <row r="605" spans="1:13">
      <c r="A605" s="2"/>
      <c r="B605" s="61" t="s">
        <v>1363</v>
      </c>
      <c r="C605" s="59">
        <v>67</v>
      </c>
      <c r="D605" s="59">
        <v>6.15</v>
      </c>
      <c r="E605" s="59">
        <v>0.7</v>
      </c>
      <c r="F605" s="59">
        <v>13.05</v>
      </c>
      <c r="G605" s="62"/>
      <c r="H605" s="59" t="s">
        <v>101</v>
      </c>
      <c r="I605" s="59">
        <v>104</v>
      </c>
      <c r="J605" s="110">
        <f t="shared" si="17"/>
        <v>13</v>
      </c>
      <c r="K605" s="172">
        <v>104</v>
      </c>
      <c r="L605" s="142" t="s">
        <v>512</v>
      </c>
      <c r="M605" s="170"/>
    </row>
    <row r="606" spans="1:13">
      <c r="A606" s="2"/>
      <c r="B606" s="61" t="s">
        <v>328</v>
      </c>
      <c r="C606" s="59">
        <v>22</v>
      </c>
      <c r="D606" s="59">
        <v>2.2000000000000002</v>
      </c>
      <c r="E606" s="59">
        <v>0.13</v>
      </c>
      <c r="F606" s="59">
        <v>4.33</v>
      </c>
      <c r="G606" s="59">
        <v>3.7</v>
      </c>
      <c r="H606" s="59" t="s">
        <v>101</v>
      </c>
      <c r="I606" s="59">
        <v>38</v>
      </c>
      <c r="J606" s="109">
        <f t="shared" si="17"/>
        <v>4.75</v>
      </c>
      <c r="K606" s="172">
        <v>38</v>
      </c>
      <c r="L606" s="142" t="s">
        <v>512</v>
      </c>
      <c r="M606" s="170"/>
    </row>
    <row r="607" spans="1:13">
      <c r="A607" s="2"/>
      <c r="B607" s="61" t="s">
        <v>327</v>
      </c>
      <c r="C607" s="59">
        <v>43</v>
      </c>
      <c r="D607" s="59">
        <v>1.61</v>
      </c>
      <c r="E607" s="59">
        <v>0.17</v>
      </c>
      <c r="F607" s="59">
        <v>9.56</v>
      </c>
      <c r="G607" s="59">
        <v>2.8</v>
      </c>
      <c r="H607" s="59" t="s">
        <v>101</v>
      </c>
      <c r="I607" s="59">
        <v>136</v>
      </c>
      <c r="J607" s="109">
        <f t="shared" si="17"/>
        <v>17</v>
      </c>
      <c r="K607" s="172">
        <v>136</v>
      </c>
      <c r="L607" s="142" t="s">
        <v>512</v>
      </c>
      <c r="M607" s="170"/>
    </row>
    <row r="608" spans="1:13">
      <c r="A608" s="2"/>
      <c r="B608" s="61" t="s">
        <v>1035</v>
      </c>
      <c r="C608" s="59">
        <v>14</v>
      </c>
      <c r="D608" s="59">
        <v>0.39</v>
      </c>
      <c r="E608" s="59">
        <v>0.04</v>
      </c>
      <c r="F608" s="59">
        <v>3.61</v>
      </c>
      <c r="G608" s="62"/>
      <c r="H608" s="59" t="s">
        <v>101</v>
      </c>
      <c r="I608" s="59">
        <v>94</v>
      </c>
      <c r="J608" s="109">
        <f t="shared" si="17"/>
        <v>11.75</v>
      </c>
      <c r="K608" s="172">
        <v>94</v>
      </c>
      <c r="L608" s="142" t="s">
        <v>512</v>
      </c>
      <c r="M608" s="170"/>
    </row>
    <row r="609" spans="1:13">
      <c r="A609" s="2"/>
      <c r="B609" s="61" t="s">
        <v>1036</v>
      </c>
      <c r="C609" s="59">
        <v>25</v>
      </c>
      <c r="D609" s="59">
        <v>1.28</v>
      </c>
      <c r="E609" s="59">
        <v>0.1</v>
      </c>
      <c r="F609" s="59">
        <v>5.8</v>
      </c>
      <c r="G609" s="59">
        <v>2.5</v>
      </c>
      <c r="H609" s="59" t="s">
        <v>1449</v>
      </c>
      <c r="I609" s="59">
        <v>90</v>
      </c>
      <c r="J609" s="109">
        <f t="shared" si="17"/>
        <v>11.25</v>
      </c>
      <c r="K609" s="172">
        <v>90</v>
      </c>
      <c r="L609" s="142" t="s">
        <v>512</v>
      </c>
      <c r="M609" s="170"/>
    </row>
    <row r="610" spans="1:13">
      <c r="A610" s="2"/>
      <c r="B610" s="61" t="s">
        <v>1037</v>
      </c>
      <c r="C610" s="59">
        <v>31</v>
      </c>
      <c r="D610" s="59">
        <v>1.43</v>
      </c>
      <c r="E610" s="59">
        <v>0.16</v>
      </c>
      <c r="F610" s="59">
        <v>7.37</v>
      </c>
      <c r="G610" s="59">
        <v>2.1</v>
      </c>
      <c r="H610" s="59" t="s">
        <v>1449</v>
      </c>
      <c r="I610" s="59">
        <v>90</v>
      </c>
      <c r="J610" s="109">
        <f t="shared" si="17"/>
        <v>11.25</v>
      </c>
      <c r="K610" s="172">
        <v>90</v>
      </c>
      <c r="L610" s="142" t="s">
        <v>512</v>
      </c>
      <c r="M610" s="170"/>
    </row>
    <row r="611" spans="1:13">
      <c r="A611" s="2"/>
      <c r="B611" s="61" t="s">
        <v>1038</v>
      </c>
      <c r="C611" s="59">
        <v>41</v>
      </c>
      <c r="D611" s="59">
        <v>0.93</v>
      </c>
      <c r="E611" s="59">
        <v>0.24</v>
      </c>
      <c r="F611" s="59">
        <v>9.58</v>
      </c>
      <c r="G611" s="59">
        <v>2.8</v>
      </c>
      <c r="H611" s="59" t="s">
        <v>1449</v>
      </c>
      <c r="I611" s="59">
        <v>128</v>
      </c>
      <c r="J611" s="109">
        <f t="shared" si="17"/>
        <v>16</v>
      </c>
      <c r="K611" s="172">
        <v>128</v>
      </c>
      <c r="L611" s="142" t="s">
        <v>512</v>
      </c>
      <c r="M611" s="170"/>
    </row>
    <row r="612" spans="1:13">
      <c r="A612" s="2"/>
      <c r="B612" s="61" t="s">
        <v>299</v>
      </c>
      <c r="C612" s="59">
        <v>31</v>
      </c>
      <c r="D612" s="59">
        <v>2.95</v>
      </c>
      <c r="E612" s="59">
        <v>0.3</v>
      </c>
      <c r="F612" s="59">
        <v>6.09</v>
      </c>
      <c r="G612" s="59">
        <v>3.2</v>
      </c>
      <c r="H612" s="59" t="s">
        <v>101</v>
      </c>
      <c r="I612" s="59">
        <v>64</v>
      </c>
      <c r="J612" s="109">
        <f t="shared" si="17"/>
        <v>8</v>
      </c>
      <c r="K612" s="172">
        <v>64</v>
      </c>
      <c r="L612" s="142" t="s">
        <v>512</v>
      </c>
      <c r="M612" s="170"/>
    </row>
    <row r="613" spans="1:13">
      <c r="A613" s="2"/>
      <c r="B613" s="61" t="s">
        <v>1039</v>
      </c>
      <c r="C613" s="59">
        <v>25</v>
      </c>
      <c r="D613" s="59">
        <v>1.98</v>
      </c>
      <c r="E613" s="59">
        <v>0.1</v>
      </c>
      <c r="F613" s="59">
        <v>5.3</v>
      </c>
      <c r="G613" s="59">
        <v>2.5</v>
      </c>
      <c r="H613" s="59" t="s">
        <v>101</v>
      </c>
      <c r="I613" s="59">
        <v>100</v>
      </c>
      <c r="J613" s="109">
        <f t="shared" si="17"/>
        <v>12.5</v>
      </c>
      <c r="K613" s="172">
        <v>100</v>
      </c>
      <c r="L613" s="142" t="s">
        <v>512</v>
      </c>
      <c r="M613" s="170"/>
    </row>
    <row r="614" spans="1:13">
      <c r="A614" s="2"/>
      <c r="B614" s="61" t="s">
        <v>1041</v>
      </c>
      <c r="C614" s="59">
        <v>16</v>
      </c>
      <c r="D614" s="59">
        <v>0.69</v>
      </c>
      <c r="E614" s="59">
        <v>0.17</v>
      </c>
      <c r="F614" s="59">
        <v>2.97</v>
      </c>
      <c r="G614" s="59">
        <v>1.6</v>
      </c>
      <c r="H614" s="59" t="s">
        <v>1449</v>
      </c>
      <c r="I614" s="59">
        <v>101</v>
      </c>
      <c r="J614" s="109">
        <f t="shared" si="17"/>
        <v>12.625</v>
      </c>
      <c r="K614" s="172">
        <v>101</v>
      </c>
      <c r="L614" s="142" t="s">
        <v>512</v>
      </c>
      <c r="M614" s="170"/>
    </row>
    <row r="615" spans="1:13">
      <c r="A615" s="2"/>
      <c r="B615" s="61" t="s">
        <v>1042</v>
      </c>
      <c r="C615" s="59">
        <v>30</v>
      </c>
      <c r="D615" s="59">
        <v>3.27</v>
      </c>
      <c r="E615" s="59">
        <v>0.73</v>
      </c>
      <c r="F615" s="59">
        <v>4.3499999999999996</v>
      </c>
      <c r="G615" s="59">
        <v>2.5</v>
      </c>
      <c r="H615" s="59" t="s">
        <v>1043</v>
      </c>
      <c r="I615" s="59">
        <v>3</v>
      </c>
      <c r="J615" s="109">
        <f t="shared" si="17"/>
        <v>1.5</v>
      </c>
      <c r="K615" s="172">
        <v>3</v>
      </c>
      <c r="L615" s="142" t="s">
        <v>586</v>
      </c>
      <c r="M615" s="170"/>
    </row>
    <row r="616" spans="1:13">
      <c r="A616" s="2"/>
      <c r="B616" s="61" t="s">
        <v>337</v>
      </c>
      <c r="C616" s="59">
        <v>30</v>
      </c>
      <c r="D616" s="59">
        <v>2.4500000000000002</v>
      </c>
      <c r="E616" s="59">
        <v>0.42</v>
      </c>
      <c r="F616" s="59">
        <v>5.69</v>
      </c>
      <c r="G616" s="59">
        <v>3.6</v>
      </c>
      <c r="H616" s="59" t="s">
        <v>1449</v>
      </c>
      <c r="I616" s="59">
        <v>36</v>
      </c>
      <c r="J616" s="110">
        <f t="shared" si="17"/>
        <v>4.5</v>
      </c>
      <c r="K616" s="172">
        <v>36</v>
      </c>
      <c r="L616" s="142" t="s">
        <v>512</v>
      </c>
      <c r="M616" s="170"/>
    </row>
    <row r="617" spans="1:13">
      <c r="A617" s="2"/>
      <c r="B617" s="61" t="s">
        <v>338</v>
      </c>
      <c r="C617" s="59">
        <v>86</v>
      </c>
      <c r="D617" s="59">
        <v>3.22</v>
      </c>
      <c r="E617" s="59">
        <v>1.18</v>
      </c>
      <c r="F617" s="59">
        <v>19.02</v>
      </c>
      <c r="G617" s="59">
        <v>2.7</v>
      </c>
      <c r="H617" s="59" t="s">
        <v>951</v>
      </c>
      <c r="I617" s="59">
        <v>143</v>
      </c>
      <c r="J617" s="109">
        <f t="shared" si="17"/>
        <v>71.5</v>
      </c>
      <c r="K617" s="172">
        <v>143</v>
      </c>
      <c r="L617" s="142" t="s">
        <v>587</v>
      </c>
      <c r="M617" s="170"/>
    </row>
    <row r="618" spans="1:13">
      <c r="A618" s="2"/>
      <c r="B618" s="61" t="s">
        <v>800</v>
      </c>
      <c r="C618" s="59">
        <v>90</v>
      </c>
      <c r="D618" s="59">
        <v>2.95</v>
      </c>
      <c r="E618" s="59">
        <v>0.35</v>
      </c>
      <c r="F618" s="59">
        <v>18.829999999999998</v>
      </c>
      <c r="G618" s="59">
        <v>5</v>
      </c>
      <c r="H618" s="59" t="s">
        <v>101</v>
      </c>
      <c r="I618" s="59">
        <v>145</v>
      </c>
      <c r="J618" s="110">
        <f t="shared" si="17"/>
        <v>18.125</v>
      </c>
      <c r="K618" s="172">
        <v>145</v>
      </c>
      <c r="L618" s="142" t="s">
        <v>512</v>
      </c>
      <c r="M618" s="170"/>
    </row>
    <row r="619" spans="1:13">
      <c r="A619" s="2"/>
      <c r="B619" s="61" t="s">
        <v>341</v>
      </c>
      <c r="C619" s="59">
        <v>12</v>
      </c>
      <c r="D619" s="59">
        <v>0.59</v>
      </c>
      <c r="E619" s="59">
        <v>0.16</v>
      </c>
      <c r="F619" s="59">
        <v>2.16</v>
      </c>
      <c r="G619" s="59">
        <v>0.7</v>
      </c>
      <c r="H619" s="59" t="s">
        <v>101</v>
      </c>
      <c r="I619" s="59">
        <v>119</v>
      </c>
      <c r="J619" s="109">
        <f t="shared" ref="J619:J650" si="18">I619*VLOOKUP(H619,Fractional,2,FALSE)</f>
        <v>14.875</v>
      </c>
      <c r="K619" s="172">
        <v>119</v>
      </c>
      <c r="L619" s="142" t="s">
        <v>512</v>
      </c>
      <c r="M619" s="170"/>
    </row>
    <row r="620" spans="1:13">
      <c r="A620" s="2"/>
      <c r="B620" s="61" t="s">
        <v>340</v>
      </c>
      <c r="C620" s="59">
        <v>15</v>
      </c>
      <c r="D620" s="59">
        <v>0.65</v>
      </c>
      <c r="E620" s="59">
        <v>0.11</v>
      </c>
      <c r="F620" s="59">
        <v>3.63</v>
      </c>
      <c r="G620" s="59">
        <v>0.5</v>
      </c>
      <c r="H620" s="59" t="s">
        <v>101</v>
      </c>
      <c r="I620" s="59">
        <v>119</v>
      </c>
      <c r="J620" s="109">
        <f t="shared" si="18"/>
        <v>14.875</v>
      </c>
      <c r="K620" s="172">
        <v>119</v>
      </c>
      <c r="L620" s="142" t="s">
        <v>512</v>
      </c>
      <c r="M620" s="170"/>
    </row>
    <row r="621" spans="1:13">
      <c r="A621" s="2"/>
      <c r="B621" s="61" t="s">
        <v>801</v>
      </c>
      <c r="C621" s="59">
        <v>20</v>
      </c>
      <c r="D621" s="59">
        <v>1.83</v>
      </c>
      <c r="E621" s="59">
        <v>0.64</v>
      </c>
      <c r="F621" s="59">
        <v>2.93</v>
      </c>
      <c r="G621" s="62"/>
      <c r="H621" s="59" t="s">
        <v>104</v>
      </c>
      <c r="I621" s="59">
        <v>28</v>
      </c>
      <c r="J621" s="110">
        <f t="shared" si="18"/>
        <v>14</v>
      </c>
      <c r="K621" s="172">
        <v>28</v>
      </c>
      <c r="L621" s="142" t="s">
        <v>537</v>
      </c>
      <c r="M621" s="170"/>
    </row>
    <row r="622" spans="1:13">
      <c r="A622" s="2"/>
      <c r="B622" s="61" t="s">
        <v>342</v>
      </c>
      <c r="C622" s="59">
        <v>24</v>
      </c>
      <c r="D622" s="59">
        <v>1.01</v>
      </c>
      <c r="E622" s="59">
        <v>0.19</v>
      </c>
      <c r="F622" s="59">
        <v>5.7</v>
      </c>
      <c r="G622" s="59">
        <v>3.4</v>
      </c>
      <c r="H622" s="59" t="s">
        <v>168</v>
      </c>
      <c r="I622" s="59">
        <v>82</v>
      </c>
      <c r="J622" s="109">
        <f t="shared" si="18"/>
        <v>10.25</v>
      </c>
      <c r="K622" s="172">
        <v>82</v>
      </c>
      <c r="L622" s="142" t="s">
        <v>512</v>
      </c>
      <c r="M622" s="170"/>
    </row>
    <row r="623" spans="1:13">
      <c r="A623" s="2"/>
      <c r="B623" s="61" t="s">
        <v>304</v>
      </c>
      <c r="C623" s="59">
        <v>32</v>
      </c>
      <c r="D623" s="59">
        <v>0.33</v>
      </c>
      <c r="E623" s="59">
        <v>0.52</v>
      </c>
      <c r="F623" s="59">
        <v>7.44</v>
      </c>
      <c r="G623" s="59">
        <v>3.8</v>
      </c>
      <c r="H623" s="59" t="s">
        <v>339</v>
      </c>
      <c r="I623" s="59">
        <v>2</v>
      </c>
      <c r="J623" s="109">
        <f t="shared" si="18"/>
        <v>1</v>
      </c>
      <c r="K623" s="172">
        <v>2</v>
      </c>
      <c r="L623" s="142" t="s">
        <v>588</v>
      </c>
      <c r="M623" s="170"/>
    </row>
    <row r="624" spans="1:13">
      <c r="A624" s="2"/>
      <c r="B624" s="61" t="s">
        <v>305</v>
      </c>
      <c r="C624" s="59">
        <v>103</v>
      </c>
      <c r="D624" s="59">
        <v>4.71</v>
      </c>
      <c r="E624" s="59">
        <v>2.75</v>
      </c>
      <c r="F624" s="59">
        <v>19.22</v>
      </c>
      <c r="G624" s="59">
        <v>10.6</v>
      </c>
      <c r="H624" s="59" t="s">
        <v>361</v>
      </c>
      <c r="I624" s="59">
        <v>22</v>
      </c>
      <c r="J624" s="109">
        <f t="shared" si="18"/>
        <v>11</v>
      </c>
      <c r="K624" s="172">
        <v>22</v>
      </c>
      <c r="L624" s="142" t="s">
        <v>589</v>
      </c>
      <c r="M624" s="170"/>
    </row>
    <row r="625" spans="1:13">
      <c r="A625" s="2"/>
      <c r="B625" s="61" t="s">
        <v>344</v>
      </c>
      <c r="C625" s="59">
        <v>149</v>
      </c>
      <c r="D625" s="59">
        <v>6.36</v>
      </c>
      <c r="E625" s="59">
        <v>0.5</v>
      </c>
      <c r="F625" s="59">
        <v>33.06</v>
      </c>
      <c r="G625" s="59">
        <v>2.1</v>
      </c>
      <c r="H625" s="59" t="s">
        <v>1445</v>
      </c>
      <c r="I625" s="59">
        <v>3</v>
      </c>
      <c r="J625" s="109">
        <f t="shared" si="18"/>
        <v>3</v>
      </c>
      <c r="K625" s="172">
        <v>3</v>
      </c>
      <c r="L625" s="142" t="s">
        <v>539</v>
      </c>
      <c r="M625" s="170"/>
    </row>
    <row r="626" spans="1:13">
      <c r="A626" s="2"/>
      <c r="B626" s="61" t="s">
        <v>345</v>
      </c>
      <c r="C626" s="59">
        <v>80</v>
      </c>
      <c r="D626" s="59">
        <v>1.82</v>
      </c>
      <c r="E626" s="59">
        <v>0.75</v>
      </c>
      <c r="F626" s="59">
        <v>17.77</v>
      </c>
      <c r="G626" s="59">
        <v>2</v>
      </c>
      <c r="H626" s="59" t="s">
        <v>1445</v>
      </c>
      <c r="I626" s="59">
        <v>2</v>
      </c>
      <c r="J626" s="109">
        <f t="shared" si="18"/>
        <v>2</v>
      </c>
      <c r="K626" s="172">
        <v>2</v>
      </c>
      <c r="L626" s="142" t="s">
        <v>539</v>
      </c>
      <c r="M626" s="170"/>
    </row>
    <row r="627" spans="1:13">
      <c r="A627" s="2"/>
      <c r="B627" s="61" t="s">
        <v>802</v>
      </c>
      <c r="C627" s="59">
        <v>14</v>
      </c>
      <c r="D627" s="59">
        <v>0.62</v>
      </c>
      <c r="E627" s="59">
        <v>0.02</v>
      </c>
      <c r="F627" s="59">
        <v>3.39</v>
      </c>
      <c r="G627" s="62"/>
      <c r="H627" s="59" t="s">
        <v>920</v>
      </c>
      <c r="I627" s="59">
        <v>58</v>
      </c>
      <c r="J627" s="109">
        <f t="shared" si="18"/>
        <v>14.5</v>
      </c>
      <c r="K627" s="172">
        <v>116</v>
      </c>
      <c r="L627" s="142" t="s">
        <v>512</v>
      </c>
      <c r="M627" s="170"/>
    </row>
    <row r="628" spans="1:13">
      <c r="A628" s="2"/>
      <c r="B628" s="61" t="s">
        <v>300</v>
      </c>
      <c r="C628" s="59">
        <v>93</v>
      </c>
      <c r="D628" s="59">
        <v>5.6</v>
      </c>
      <c r="E628" s="59">
        <v>2.12</v>
      </c>
      <c r="F628" s="59">
        <v>17.309999999999999</v>
      </c>
      <c r="G628" s="59">
        <v>11</v>
      </c>
      <c r="H628" s="59" t="s">
        <v>1032</v>
      </c>
      <c r="I628" s="59">
        <v>3</v>
      </c>
      <c r="J628" s="109">
        <f t="shared" si="18"/>
        <v>1.5</v>
      </c>
      <c r="K628" s="172">
        <v>3</v>
      </c>
      <c r="L628" s="142" t="s">
        <v>590</v>
      </c>
      <c r="M628" s="170"/>
    </row>
    <row r="629" spans="1:13">
      <c r="A629" s="2"/>
      <c r="B629" s="61" t="s">
        <v>346</v>
      </c>
      <c r="C629" s="59">
        <v>43</v>
      </c>
      <c r="D629" s="59">
        <v>4.2</v>
      </c>
      <c r="E629" s="59">
        <v>0.8</v>
      </c>
      <c r="F629" s="59">
        <v>7.3</v>
      </c>
      <c r="G629" s="59">
        <v>4</v>
      </c>
      <c r="H629" s="59" t="s">
        <v>101</v>
      </c>
      <c r="I629" s="59">
        <v>180</v>
      </c>
      <c r="J629" s="110">
        <f t="shared" si="18"/>
        <v>22.5</v>
      </c>
      <c r="K629" s="172">
        <v>180</v>
      </c>
      <c r="L629" s="142" t="s">
        <v>512</v>
      </c>
      <c r="M629" s="170"/>
    </row>
    <row r="630" spans="1:13">
      <c r="A630" s="2"/>
      <c r="B630" s="61" t="s">
        <v>803</v>
      </c>
      <c r="C630" s="59">
        <v>61</v>
      </c>
      <c r="D630" s="59">
        <v>1.5</v>
      </c>
      <c r="E630" s="59">
        <v>0.3</v>
      </c>
      <c r="F630" s="59">
        <v>14.15</v>
      </c>
      <c r="G630" s="59">
        <v>1.8</v>
      </c>
      <c r="H630" s="59" t="s">
        <v>347</v>
      </c>
      <c r="I630" s="59">
        <v>89</v>
      </c>
      <c r="J630" s="109">
        <f t="shared" si="18"/>
        <v>89</v>
      </c>
      <c r="K630" s="172">
        <v>89</v>
      </c>
      <c r="L630" s="142" t="s">
        <v>591</v>
      </c>
      <c r="M630" s="170"/>
    </row>
    <row r="631" spans="1:13">
      <c r="A631" s="2"/>
      <c r="B631" s="61" t="s">
        <v>804</v>
      </c>
      <c r="C631" s="59">
        <v>101</v>
      </c>
      <c r="D631" s="59">
        <v>8.8000000000000007</v>
      </c>
      <c r="E631" s="59">
        <v>0.45</v>
      </c>
      <c r="F631" s="59">
        <v>21.25</v>
      </c>
      <c r="G631" s="62"/>
      <c r="H631" s="59" t="s">
        <v>101</v>
      </c>
      <c r="I631" s="59">
        <v>192</v>
      </c>
      <c r="J631" s="110">
        <f t="shared" si="18"/>
        <v>24</v>
      </c>
      <c r="K631" s="172">
        <v>192</v>
      </c>
      <c r="L631" s="142" t="s">
        <v>512</v>
      </c>
      <c r="M631" s="170"/>
    </row>
    <row r="632" spans="1:13">
      <c r="A632" s="2"/>
      <c r="B632" s="61" t="s">
        <v>1364</v>
      </c>
      <c r="C632" s="59">
        <v>13</v>
      </c>
      <c r="D632" s="59">
        <v>1.35</v>
      </c>
      <c r="E632" s="59">
        <v>0.22</v>
      </c>
      <c r="F632" s="59">
        <v>2.23</v>
      </c>
      <c r="G632" s="59">
        <v>1.1000000000000001</v>
      </c>
      <c r="H632" s="59" t="s">
        <v>348</v>
      </c>
      <c r="I632" s="59">
        <v>55</v>
      </c>
      <c r="J632" s="109">
        <f t="shared" si="18"/>
        <v>6.875</v>
      </c>
      <c r="K632" s="172">
        <v>55</v>
      </c>
      <c r="L632" s="142" t="s">
        <v>512</v>
      </c>
      <c r="M632" s="170"/>
    </row>
    <row r="633" spans="1:13">
      <c r="A633" s="2"/>
      <c r="B633" s="61" t="s">
        <v>1366</v>
      </c>
      <c r="C633" s="59">
        <v>15</v>
      </c>
      <c r="D633" s="59">
        <v>1.36</v>
      </c>
      <c r="E633" s="59">
        <v>0.15</v>
      </c>
      <c r="F633" s="59">
        <v>2.79</v>
      </c>
      <c r="G633" s="59">
        <v>1.3</v>
      </c>
      <c r="H633" s="59" t="s">
        <v>107</v>
      </c>
      <c r="I633" s="59">
        <v>36</v>
      </c>
      <c r="J633" s="109">
        <f t="shared" si="18"/>
        <v>4.5</v>
      </c>
      <c r="K633" s="172">
        <v>36</v>
      </c>
      <c r="L633" s="142" t="s">
        <v>512</v>
      </c>
      <c r="M633" s="170"/>
    </row>
    <row r="634" spans="1:13">
      <c r="A634" s="2"/>
      <c r="B634" s="61" t="s">
        <v>1365</v>
      </c>
      <c r="C634" s="59">
        <v>14</v>
      </c>
      <c r="D634" s="59">
        <v>0.9</v>
      </c>
      <c r="E634" s="59">
        <v>0.14000000000000001</v>
      </c>
      <c r="F634" s="59">
        <v>2.97</v>
      </c>
      <c r="G634" s="59">
        <v>1.2</v>
      </c>
      <c r="H634" s="59" t="s">
        <v>107</v>
      </c>
      <c r="I634" s="59">
        <v>72</v>
      </c>
      <c r="J634" s="109">
        <f t="shared" si="18"/>
        <v>9</v>
      </c>
      <c r="K634" s="172">
        <v>72</v>
      </c>
      <c r="L634" s="142" t="s">
        <v>512</v>
      </c>
      <c r="M634" s="170"/>
    </row>
    <row r="635" spans="1:13">
      <c r="A635" s="2"/>
      <c r="B635" s="61" t="s">
        <v>350</v>
      </c>
      <c r="C635" s="59">
        <v>16</v>
      </c>
      <c r="D635" s="59">
        <v>1.33</v>
      </c>
      <c r="E635" s="59">
        <v>0.22</v>
      </c>
      <c r="F635" s="59">
        <v>2.2599999999999998</v>
      </c>
      <c r="G635" s="59">
        <v>0.9</v>
      </c>
      <c r="H635" s="59" t="s">
        <v>107</v>
      </c>
      <c r="I635" s="59">
        <v>28</v>
      </c>
      <c r="J635" s="109">
        <f t="shared" si="18"/>
        <v>3.5</v>
      </c>
      <c r="K635" s="172">
        <v>28</v>
      </c>
      <c r="L635" s="142" t="s">
        <v>512</v>
      </c>
      <c r="M635" s="170"/>
    </row>
    <row r="636" spans="1:13">
      <c r="A636" s="2"/>
      <c r="B636" s="61" t="s">
        <v>1362</v>
      </c>
      <c r="C636" s="59">
        <v>113</v>
      </c>
      <c r="D636" s="59">
        <v>6.84</v>
      </c>
      <c r="E636" s="59">
        <v>0.86</v>
      </c>
      <c r="F636" s="59">
        <v>20.170000000000002</v>
      </c>
      <c r="G636" s="59">
        <v>4.9000000000000004</v>
      </c>
      <c r="H636" s="59" t="s">
        <v>101</v>
      </c>
      <c r="I636" s="59">
        <v>156</v>
      </c>
      <c r="J636" s="110">
        <f t="shared" si="18"/>
        <v>19.5</v>
      </c>
      <c r="K636" s="172">
        <v>156</v>
      </c>
      <c r="L636" s="142" t="s">
        <v>512</v>
      </c>
      <c r="M636" s="170"/>
    </row>
    <row r="637" spans="1:13">
      <c r="A637" s="2"/>
      <c r="B637" s="61" t="s">
        <v>349</v>
      </c>
      <c r="C637" s="59">
        <v>74</v>
      </c>
      <c r="D637" s="59">
        <v>2.6</v>
      </c>
      <c r="E637" s="59">
        <v>0.1</v>
      </c>
      <c r="F637" s="59">
        <v>17.23</v>
      </c>
      <c r="G637" s="59">
        <v>4.9000000000000004</v>
      </c>
      <c r="H637" s="59" t="s">
        <v>952</v>
      </c>
      <c r="I637" s="59">
        <v>115</v>
      </c>
      <c r="J637" s="109">
        <f t="shared" si="18"/>
        <v>57.5</v>
      </c>
      <c r="K637" s="172">
        <v>115</v>
      </c>
      <c r="L637" s="142" t="s">
        <v>592</v>
      </c>
      <c r="M637" s="170"/>
    </row>
    <row r="638" spans="1:13">
      <c r="A638" s="2"/>
      <c r="B638" s="61" t="s">
        <v>306</v>
      </c>
      <c r="C638" s="59">
        <v>23</v>
      </c>
      <c r="D638" s="59">
        <v>2.98</v>
      </c>
      <c r="E638" s="59">
        <v>0.78</v>
      </c>
      <c r="F638" s="59">
        <v>2.71</v>
      </c>
      <c r="G638" s="59">
        <v>2.1</v>
      </c>
      <c r="H638" s="59" t="s">
        <v>101</v>
      </c>
      <c r="I638" s="59">
        <v>44</v>
      </c>
      <c r="J638" s="109">
        <f t="shared" si="18"/>
        <v>5.5</v>
      </c>
      <c r="K638" s="172">
        <v>44</v>
      </c>
      <c r="L638" s="142" t="s">
        <v>512</v>
      </c>
      <c r="M638" s="170"/>
    </row>
    <row r="639" spans="1:13">
      <c r="A639" s="2"/>
      <c r="B639" s="61" t="s">
        <v>351</v>
      </c>
      <c r="C639" s="59">
        <v>67</v>
      </c>
      <c r="D639" s="59">
        <v>1.34</v>
      </c>
      <c r="E639" s="59">
        <v>0.1</v>
      </c>
      <c r="F639" s="59">
        <v>16.309999999999999</v>
      </c>
      <c r="G639" s="62"/>
      <c r="H639" s="59" t="s">
        <v>352</v>
      </c>
      <c r="I639" s="59">
        <v>68</v>
      </c>
      <c r="J639" s="109">
        <f t="shared" si="18"/>
        <v>34</v>
      </c>
      <c r="K639" s="172">
        <v>136</v>
      </c>
      <c r="L639" s="148" t="s">
        <v>512</v>
      </c>
      <c r="M639" s="170"/>
    </row>
    <row r="640" spans="1:13">
      <c r="A640" s="2"/>
      <c r="B640" s="61" t="s">
        <v>805</v>
      </c>
      <c r="C640" s="59">
        <v>27</v>
      </c>
      <c r="D640" s="59">
        <v>2.5</v>
      </c>
      <c r="E640" s="59">
        <v>0.1</v>
      </c>
      <c r="F640" s="59">
        <v>4.12</v>
      </c>
      <c r="G640" s="59">
        <v>0.6</v>
      </c>
      <c r="H640" s="59" t="s">
        <v>167</v>
      </c>
      <c r="I640" s="59">
        <v>87</v>
      </c>
      <c r="J640" s="109">
        <f t="shared" si="18"/>
        <v>10.875</v>
      </c>
      <c r="K640" s="172">
        <v>87</v>
      </c>
      <c r="L640" s="142" t="s">
        <v>512</v>
      </c>
      <c r="M640" s="170"/>
    </row>
    <row r="641" spans="1:13">
      <c r="A641" s="2"/>
      <c r="B641" s="61" t="s">
        <v>355</v>
      </c>
      <c r="C641" s="59">
        <v>26</v>
      </c>
      <c r="D641" s="59">
        <v>2.5</v>
      </c>
      <c r="E641" s="59">
        <v>0.2</v>
      </c>
      <c r="F641" s="59">
        <v>5.07</v>
      </c>
      <c r="G641" s="59">
        <v>1.5</v>
      </c>
      <c r="H641" s="59" t="s">
        <v>106</v>
      </c>
      <c r="I641" s="59">
        <v>86</v>
      </c>
      <c r="J641" s="109">
        <f t="shared" si="18"/>
        <v>21.5</v>
      </c>
      <c r="K641" s="172">
        <v>86</v>
      </c>
      <c r="L641" s="142" t="s">
        <v>512</v>
      </c>
      <c r="M641" s="170"/>
    </row>
    <row r="642" spans="1:13">
      <c r="A642" s="2"/>
      <c r="B642" s="61" t="s">
        <v>353</v>
      </c>
      <c r="C642" s="59">
        <v>22</v>
      </c>
      <c r="D642" s="59">
        <v>3.09</v>
      </c>
      <c r="E642" s="59">
        <v>0.34</v>
      </c>
      <c r="F642" s="59">
        <v>3.28</v>
      </c>
      <c r="G642" s="59">
        <v>1</v>
      </c>
      <c r="H642" s="59" t="s">
        <v>354</v>
      </c>
      <c r="I642" s="59">
        <v>70</v>
      </c>
      <c r="J642" s="109">
        <f t="shared" si="18"/>
        <v>8.75</v>
      </c>
      <c r="K642" s="172">
        <v>70</v>
      </c>
      <c r="L642" s="142" t="s">
        <v>512</v>
      </c>
      <c r="M642" s="170"/>
    </row>
    <row r="643" spans="1:13">
      <c r="A643" s="2"/>
      <c r="B643" s="61" t="s">
        <v>806</v>
      </c>
      <c r="C643" s="59">
        <v>22</v>
      </c>
      <c r="D643" s="59">
        <v>2.2000000000000002</v>
      </c>
      <c r="E643" s="59">
        <v>0.3</v>
      </c>
      <c r="F643" s="59">
        <v>3.9</v>
      </c>
      <c r="G643" s="59">
        <v>2.8</v>
      </c>
      <c r="H643" s="59" t="s">
        <v>1449</v>
      </c>
      <c r="I643" s="59">
        <v>150</v>
      </c>
      <c r="J643" s="110">
        <f t="shared" si="18"/>
        <v>18.75</v>
      </c>
      <c r="K643" s="172">
        <v>150</v>
      </c>
      <c r="L643" s="142" t="s">
        <v>512</v>
      </c>
      <c r="M643" s="170"/>
    </row>
    <row r="644" spans="1:13">
      <c r="A644" s="2"/>
      <c r="B644" s="61" t="s">
        <v>356</v>
      </c>
      <c r="C644" s="59">
        <v>14</v>
      </c>
      <c r="D644" s="59">
        <v>1.5</v>
      </c>
      <c r="E644" s="59">
        <v>0.2</v>
      </c>
      <c r="F644" s="59">
        <v>2.5</v>
      </c>
      <c r="G644" s="62"/>
      <c r="H644" s="59" t="s">
        <v>1449</v>
      </c>
      <c r="I644" s="59">
        <v>56</v>
      </c>
      <c r="J644" s="110">
        <f t="shared" si="18"/>
        <v>7</v>
      </c>
      <c r="K644" s="172">
        <v>56</v>
      </c>
      <c r="L644" s="142" t="s">
        <v>512</v>
      </c>
      <c r="M644" s="170"/>
    </row>
    <row r="645" spans="1:13">
      <c r="A645" s="2"/>
      <c r="B645" s="61" t="s">
        <v>357</v>
      </c>
      <c r="C645" s="59">
        <v>31</v>
      </c>
      <c r="D645" s="59">
        <v>2</v>
      </c>
      <c r="E645" s="59">
        <v>0.1</v>
      </c>
      <c r="F645" s="59">
        <v>7.03</v>
      </c>
      <c r="G645" s="59">
        <v>3.2</v>
      </c>
      <c r="H645" s="59" t="s">
        <v>101</v>
      </c>
      <c r="I645" s="59">
        <v>95</v>
      </c>
      <c r="J645" s="109">
        <f t="shared" si="18"/>
        <v>11.875</v>
      </c>
      <c r="K645" s="172">
        <v>95</v>
      </c>
      <c r="L645" s="142" t="s">
        <v>512</v>
      </c>
      <c r="M645" s="170"/>
    </row>
    <row r="646" spans="1:13">
      <c r="A646" s="2"/>
      <c r="B646" s="61" t="s">
        <v>358</v>
      </c>
      <c r="C646" s="59">
        <v>40</v>
      </c>
      <c r="D646" s="59">
        <v>1.1000000000000001</v>
      </c>
      <c r="E646" s="59">
        <v>0.1</v>
      </c>
      <c r="F646" s="59">
        <v>9.34</v>
      </c>
      <c r="G646" s="59">
        <v>1.7</v>
      </c>
      <c r="H646" s="59" t="s">
        <v>1449</v>
      </c>
      <c r="I646" s="59">
        <v>160</v>
      </c>
      <c r="J646" s="109">
        <f t="shared" si="18"/>
        <v>20</v>
      </c>
      <c r="K646" s="172">
        <v>160</v>
      </c>
      <c r="L646" s="142" t="s">
        <v>512</v>
      </c>
      <c r="M646" s="170"/>
    </row>
    <row r="647" spans="1:13">
      <c r="A647" s="2"/>
      <c r="B647" s="61" t="s">
        <v>157</v>
      </c>
      <c r="C647" s="59">
        <v>36</v>
      </c>
      <c r="D647" s="59">
        <v>2.97</v>
      </c>
      <c r="E647" s="59">
        <v>0.79</v>
      </c>
      <c r="F647" s="59">
        <v>6.33</v>
      </c>
      <c r="G647" s="59">
        <v>3.3</v>
      </c>
      <c r="H647" s="59" t="s">
        <v>102</v>
      </c>
      <c r="I647" s="59">
        <v>4</v>
      </c>
      <c r="J647" s="109">
        <f t="shared" si="18"/>
        <v>2</v>
      </c>
      <c r="K647" s="172">
        <v>4</v>
      </c>
      <c r="L647" s="142" t="s">
        <v>536</v>
      </c>
      <c r="M647" s="170"/>
    </row>
    <row r="648" spans="1:13">
      <c r="A648" s="2"/>
      <c r="B648" s="61" t="s">
        <v>158</v>
      </c>
      <c r="C648" s="59">
        <v>75</v>
      </c>
      <c r="D648" s="59">
        <v>1.2</v>
      </c>
      <c r="E648" s="59">
        <v>0.3</v>
      </c>
      <c r="F648" s="59">
        <v>17.989999999999998</v>
      </c>
      <c r="G648" s="59">
        <v>4.9000000000000004</v>
      </c>
      <c r="H648" s="59" t="s">
        <v>78</v>
      </c>
      <c r="I648" s="59">
        <v>133</v>
      </c>
      <c r="J648" s="110">
        <f t="shared" si="18"/>
        <v>16.625</v>
      </c>
      <c r="K648" s="172">
        <v>133</v>
      </c>
      <c r="L648" s="142" t="s">
        <v>512</v>
      </c>
      <c r="M648" s="170"/>
    </row>
    <row r="649" spans="1:13">
      <c r="A649" s="2"/>
      <c r="B649" s="61" t="s">
        <v>159</v>
      </c>
      <c r="C649" s="59">
        <v>42</v>
      </c>
      <c r="D649" s="59">
        <v>2.8</v>
      </c>
      <c r="E649" s="59">
        <v>0.2</v>
      </c>
      <c r="F649" s="59">
        <v>7.55</v>
      </c>
      <c r="G649" s="59">
        <v>2.6</v>
      </c>
      <c r="H649" s="59" t="s">
        <v>101</v>
      </c>
      <c r="I649" s="59">
        <v>63</v>
      </c>
      <c r="J649" s="109">
        <f t="shared" si="18"/>
        <v>7.875</v>
      </c>
      <c r="K649" s="172">
        <v>63</v>
      </c>
      <c r="L649" s="142" t="s">
        <v>512</v>
      </c>
      <c r="M649" s="170"/>
    </row>
    <row r="650" spans="1:13">
      <c r="A650" s="2"/>
      <c r="B650" s="61" t="s">
        <v>160</v>
      </c>
      <c r="C650" s="59">
        <v>81</v>
      </c>
      <c r="D650" s="59">
        <v>5.42</v>
      </c>
      <c r="E650" s="59">
        <v>0.4</v>
      </c>
      <c r="F650" s="59">
        <v>14.45</v>
      </c>
      <c r="G650" s="59">
        <v>5.0999999999999996</v>
      </c>
      <c r="H650" s="59" t="s">
        <v>101</v>
      </c>
      <c r="I650" s="59">
        <v>145</v>
      </c>
      <c r="J650" s="110">
        <f t="shared" si="18"/>
        <v>18.125</v>
      </c>
      <c r="K650" s="172">
        <v>145</v>
      </c>
      <c r="L650" s="142" t="s">
        <v>512</v>
      </c>
      <c r="M650" s="170"/>
    </row>
    <row r="651" spans="1:13">
      <c r="A651" s="2"/>
      <c r="B651" s="61" t="s">
        <v>807</v>
      </c>
      <c r="C651" s="59">
        <v>128</v>
      </c>
      <c r="D651" s="59">
        <v>8.8000000000000007</v>
      </c>
      <c r="E651" s="59">
        <v>0.68</v>
      </c>
      <c r="F651" s="59">
        <v>28.26</v>
      </c>
      <c r="G651" s="62"/>
      <c r="H651" s="59" t="s">
        <v>101</v>
      </c>
      <c r="I651" s="59">
        <v>120</v>
      </c>
      <c r="J651" s="110">
        <f t="shared" ref="J651:J680" si="19">I651*VLOOKUP(H651,Fractional,2,FALSE)</f>
        <v>15</v>
      </c>
      <c r="K651" s="172">
        <v>120</v>
      </c>
      <c r="L651" s="142" t="s">
        <v>512</v>
      </c>
      <c r="M651" s="170"/>
    </row>
    <row r="652" spans="1:13">
      <c r="A652" s="2"/>
      <c r="B652" s="61" t="s">
        <v>301</v>
      </c>
      <c r="C652" s="59">
        <v>27</v>
      </c>
      <c r="D652" s="59">
        <v>1.66</v>
      </c>
      <c r="E652" s="59">
        <v>0.45</v>
      </c>
      <c r="F652" s="59">
        <v>5.35</v>
      </c>
      <c r="G652" s="59">
        <v>3.4</v>
      </c>
      <c r="H652" s="59" t="s">
        <v>101</v>
      </c>
      <c r="I652" s="59">
        <v>124</v>
      </c>
      <c r="J652" s="109">
        <f t="shared" si="19"/>
        <v>15.5</v>
      </c>
      <c r="K652" s="172">
        <v>124</v>
      </c>
      <c r="L652" s="142" t="s">
        <v>512</v>
      </c>
      <c r="M652" s="170"/>
    </row>
    <row r="653" spans="1:13">
      <c r="A653" s="2"/>
      <c r="B653" s="61" t="s">
        <v>303</v>
      </c>
      <c r="C653" s="59">
        <v>21</v>
      </c>
      <c r="D653" s="59">
        <v>0.72</v>
      </c>
      <c r="E653" s="59">
        <v>0.27</v>
      </c>
      <c r="F653" s="59">
        <v>4.5999999999999996</v>
      </c>
      <c r="G653" s="59">
        <v>1.7</v>
      </c>
      <c r="H653" s="59" t="s">
        <v>101</v>
      </c>
      <c r="I653" s="59">
        <v>139</v>
      </c>
      <c r="J653" s="110">
        <f t="shared" si="19"/>
        <v>17.375</v>
      </c>
      <c r="K653" s="172">
        <v>139</v>
      </c>
      <c r="L653" s="142" t="s">
        <v>512</v>
      </c>
      <c r="M653" s="170"/>
    </row>
    <row r="654" spans="1:13">
      <c r="A654" s="2"/>
      <c r="B654" s="61" t="s">
        <v>302</v>
      </c>
      <c r="C654" s="59">
        <v>30</v>
      </c>
      <c r="D654" s="59">
        <v>1.35</v>
      </c>
      <c r="E654" s="59">
        <v>0.62</v>
      </c>
      <c r="F654" s="59">
        <v>5.9</v>
      </c>
      <c r="G654" s="59">
        <v>2.8</v>
      </c>
      <c r="H654" s="59" t="s">
        <v>161</v>
      </c>
      <c r="I654" s="59">
        <v>14</v>
      </c>
      <c r="J654" s="109">
        <f t="shared" si="19"/>
        <v>3.5</v>
      </c>
      <c r="K654" s="172">
        <v>14</v>
      </c>
      <c r="L654" s="142" t="s">
        <v>593</v>
      </c>
      <c r="M654" s="170"/>
    </row>
    <row r="655" spans="1:13">
      <c r="A655" s="2"/>
      <c r="B655" s="61" t="s">
        <v>988</v>
      </c>
      <c r="C655" s="59">
        <v>27</v>
      </c>
      <c r="D655" s="59">
        <v>1</v>
      </c>
      <c r="E655" s="59">
        <v>0.21</v>
      </c>
      <c r="F655" s="59">
        <v>6.32</v>
      </c>
      <c r="G655" s="59">
        <v>0.9</v>
      </c>
      <c r="H655" s="59" t="s">
        <v>359</v>
      </c>
      <c r="I655" s="59">
        <v>52</v>
      </c>
      <c r="J655" s="109">
        <f t="shared" si="19"/>
        <v>5.2</v>
      </c>
      <c r="K655" s="172">
        <v>5.2</v>
      </c>
      <c r="L655" s="148" t="s">
        <v>208</v>
      </c>
      <c r="M655" s="170"/>
    </row>
    <row r="656" spans="1:13">
      <c r="A656" s="2"/>
      <c r="B656" s="61" t="s">
        <v>986</v>
      </c>
      <c r="C656" s="59">
        <v>91</v>
      </c>
      <c r="D656" s="59">
        <v>1.5</v>
      </c>
      <c r="E656" s="59">
        <v>0.46</v>
      </c>
      <c r="F656" s="59">
        <v>23.35</v>
      </c>
      <c r="G656" s="59">
        <v>1.5</v>
      </c>
      <c r="H656" s="59" t="s">
        <v>102</v>
      </c>
      <c r="I656" s="59">
        <v>15</v>
      </c>
      <c r="J656" s="109">
        <f t="shared" si="19"/>
        <v>7.5</v>
      </c>
      <c r="K656" s="172">
        <v>15</v>
      </c>
      <c r="L656" s="142" t="s">
        <v>536</v>
      </c>
      <c r="M656" s="170"/>
    </row>
    <row r="657" spans="1:13">
      <c r="A657" s="2"/>
      <c r="B657" s="61" t="s">
        <v>987</v>
      </c>
      <c r="C657" s="59">
        <v>130</v>
      </c>
      <c r="D657" s="59">
        <v>0.37</v>
      </c>
      <c r="E657" s="59">
        <v>0.47</v>
      </c>
      <c r="F657" s="59">
        <v>35.06</v>
      </c>
      <c r="G657" s="59">
        <v>1.1000000000000001</v>
      </c>
      <c r="H657" s="59" t="s">
        <v>102</v>
      </c>
      <c r="I657" s="59">
        <v>15</v>
      </c>
      <c r="J657" s="109">
        <f t="shared" si="19"/>
        <v>7.5</v>
      </c>
      <c r="K657" s="172">
        <v>15</v>
      </c>
      <c r="L657" s="142" t="s">
        <v>536</v>
      </c>
      <c r="M657" s="170"/>
    </row>
    <row r="658" spans="1:13">
      <c r="A658" s="2"/>
      <c r="B658" s="61" t="s">
        <v>1373</v>
      </c>
      <c r="C658" s="59">
        <v>11</v>
      </c>
      <c r="D658" s="59">
        <v>0.33</v>
      </c>
      <c r="E658" s="59">
        <v>0.2</v>
      </c>
      <c r="F658" s="59">
        <v>2.2599999999999998</v>
      </c>
      <c r="G658" s="59">
        <v>1.2</v>
      </c>
      <c r="H658" s="59" t="s">
        <v>1448</v>
      </c>
      <c r="I658" s="59">
        <v>135</v>
      </c>
      <c r="J658" s="109">
        <f t="shared" si="19"/>
        <v>135</v>
      </c>
      <c r="K658" s="172">
        <v>135</v>
      </c>
      <c r="L658" s="142" t="s">
        <v>594</v>
      </c>
      <c r="M658" s="170"/>
    </row>
    <row r="659" spans="1:13">
      <c r="A659" s="2"/>
      <c r="B659" s="61" t="s">
        <v>808</v>
      </c>
      <c r="C659" s="59">
        <v>91</v>
      </c>
      <c r="D659" s="59">
        <v>0.57999999999999996</v>
      </c>
      <c r="E659" s="59">
        <v>0.41</v>
      </c>
      <c r="F659" s="59">
        <v>21.15</v>
      </c>
      <c r="G659" s="59">
        <v>1</v>
      </c>
      <c r="H659" s="59" t="s">
        <v>101</v>
      </c>
      <c r="I659" s="59">
        <v>153</v>
      </c>
      <c r="J659" s="109">
        <f t="shared" si="19"/>
        <v>19.125</v>
      </c>
      <c r="K659" s="172">
        <v>153</v>
      </c>
      <c r="L659" s="142" t="s">
        <v>512</v>
      </c>
      <c r="M659" s="170"/>
    </row>
    <row r="660" spans="1:13">
      <c r="A660" s="2"/>
      <c r="B660" s="61" t="s">
        <v>1368</v>
      </c>
      <c r="C660" s="59">
        <v>70</v>
      </c>
      <c r="D660" s="59">
        <v>1.89</v>
      </c>
      <c r="E660" s="59">
        <v>0.14000000000000001</v>
      </c>
      <c r="F660" s="59">
        <v>15.9</v>
      </c>
      <c r="G660" s="59">
        <v>1.7</v>
      </c>
      <c r="H660" s="59" t="s">
        <v>953</v>
      </c>
      <c r="I660" s="59">
        <v>213</v>
      </c>
      <c r="J660" s="109">
        <f t="shared" si="19"/>
        <v>53.25</v>
      </c>
      <c r="K660" s="172">
        <v>213</v>
      </c>
      <c r="L660" s="142" t="s">
        <v>595</v>
      </c>
      <c r="M660" s="170"/>
    </row>
    <row r="661" spans="1:13">
      <c r="A661" s="2"/>
      <c r="B661" s="61" t="s">
        <v>1367</v>
      </c>
      <c r="C661" s="59">
        <v>69</v>
      </c>
      <c r="D661" s="59">
        <v>1.68</v>
      </c>
      <c r="E661" s="59">
        <v>0.1</v>
      </c>
      <c r="F661" s="59">
        <v>15.71</v>
      </c>
      <c r="G661" s="59">
        <v>2.4</v>
      </c>
      <c r="H661" s="59" t="s">
        <v>953</v>
      </c>
      <c r="I661" s="59">
        <v>213</v>
      </c>
      <c r="J661" s="109">
        <f t="shared" si="19"/>
        <v>53.25</v>
      </c>
      <c r="K661" s="172">
        <v>213</v>
      </c>
      <c r="L661" s="142" t="s">
        <v>595</v>
      </c>
      <c r="M661" s="170"/>
    </row>
    <row r="662" spans="1:13">
      <c r="A662" s="2"/>
      <c r="B662" s="61" t="s">
        <v>360</v>
      </c>
      <c r="C662" s="59">
        <v>26</v>
      </c>
      <c r="D662" s="59">
        <v>1</v>
      </c>
      <c r="E662" s="59">
        <v>0.1</v>
      </c>
      <c r="F662" s="59">
        <v>6.5</v>
      </c>
      <c r="G662" s="59">
        <v>0.5</v>
      </c>
      <c r="H662" s="59" t="s">
        <v>343</v>
      </c>
      <c r="I662" s="59">
        <v>116</v>
      </c>
      <c r="J662" s="110">
        <f t="shared" si="19"/>
        <v>14.5</v>
      </c>
      <c r="K662" s="172">
        <v>116</v>
      </c>
      <c r="L662" s="142" t="s">
        <v>512</v>
      </c>
      <c r="M662" s="170"/>
    </row>
    <row r="663" spans="1:13">
      <c r="A663" s="2"/>
      <c r="B663" s="61" t="s">
        <v>989</v>
      </c>
      <c r="C663" s="59">
        <v>23</v>
      </c>
      <c r="D663" s="59">
        <v>1.43</v>
      </c>
      <c r="E663" s="59">
        <v>0.25</v>
      </c>
      <c r="F663" s="59">
        <v>4.4800000000000004</v>
      </c>
      <c r="G663" s="59">
        <v>0.9</v>
      </c>
      <c r="H663" s="59" t="s">
        <v>107</v>
      </c>
      <c r="I663" s="59">
        <v>40</v>
      </c>
      <c r="J663" s="109">
        <f t="shared" si="19"/>
        <v>5</v>
      </c>
      <c r="K663" s="172">
        <v>40</v>
      </c>
      <c r="L663" s="142" t="s">
        <v>512</v>
      </c>
      <c r="M663" s="170"/>
    </row>
    <row r="664" spans="1:13">
      <c r="A664" s="2"/>
      <c r="B664" s="61" t="s">
        <v>362</v>
      </c>
      <c r="C664" s="59">
        <v>16</v>
      </c>
      <c r="D664" s="59">
        <v>0.68</v>
      </c>
      <c r="E664" s="59">
        <v>0.1</v>
      </c>
      <c r="F664" s="59">
        <v>3.4</v>
      </c>
      <c r="G664" s="59">
        <v>1.6</v>
      </c>
      <c r="H664" s="59" t="s">
        <v>78</v>
      </c>
      <c r="I664" s="59">
        <v>116</v>
      </c>
      <c r="J664" s="109">
        <f t="shared" si="19"/>
        <v>14.5</v>
      </c>
      <c r="K664" s="172">
        <v>116</v>
      </c>
      <c r="L664" s="142" t="s">
        <v>512</v>
      </c>
      <c r="M664" s="170"/>
    </row>
    <row r="665" spans="1:13">
      <c r="A665" s="2"/>
      <c r="B665" s="61" t="s">
        <v>363</v>
      </c>
      <c r="C665" s="59">
        <v>36</v>
      </c>
      <c r="D665" s="59">
        <v>1.2</v>
      </c>
      <c r="E665" s="59">
        <v>0.2</v>
      </c>
      <c r="F665" s="59">
        <v>8.1300000000000008</v>
      </c>
      <c r="G665" s="59">
        <v>2.5</v>
      </c>
      <c r="H665" s="59" t="s">
        <v>168</v>
      </c>
      <c r="I665" s="59">
        <v>140</v>
      </c>
      <c r="J665" s="109">
        <f t="shared" si="19"/>
        <v>17.5</v>
      </c>
      <c r="K665" s="172">
        <v>140</v>
      </c>
      <c r="L665" s="142" t="s">
        <v>512</v>
      </c>
      <c r="M665" s="170"/>
    </row>
    <row r="666" spans="1:13">
      <c r="A666" s="2"/>
      <c r="B666" s="61" t="s">
        <v>1369</v>
      </c>
      <c r="C666" s="59">
        <v>19</v>
      </c>
      <c r="D666" s="59">
        <v>0.91</v>
      </c>
      <c r="E666" s="59">
        <v>0.14000000000000001</v>
      </c>
      <c r="F666" s="59">
        <v>4.28</v>
      </c>
      <c r="G666" s="59">
        <v>2.9</v>
      </c>
      <c r="H666" s="59" t="s">
        <v>101</v>
      </c>
      <c r="I666" s="59">
        <v>142</v>
      </c>
      <c r="J666" s="109">
        <f t="shared" si="19"/>
        <v>17.75</v>
      </c>
      <c r="K666" s="172">
        <v>142</v>
      </c>
      <c r="L666" s="142" t="s">
        <v>512</v>
      </c>
      <c r="M666" s="170"/>
    </row>
    <row r="667" spans="1:13">
      <c r="A667" s="2"/>
      <c r="B667" s="61" t="s">
        <v>364</v>
      </c>
      <c r="C667" s="59">
        <v>147</v>
      </c>
      <c r="D667" s="59">
        <v>12.95</v>
      </c>
      <c r="E667" s="59">
        <v>6.8</v>
      </c>
      <c r="F667" s="59">
        <v>11.05</v>
      </c>
      <c r="G667" s="59">
        <v>4.2</v>
      </c>
      <c r="H667" s="59" t="s">
        <v>101</v>
      </c>
      <c r="I667" s="59">
        <v>256</v>
      </c>
      <c r="J667" s="110">
        <f t="shared" si="19"/>
        <v>32</v>
      </c>
      <c r="K667" s="172">
        <v>256</v>
      </c>
      <c r="L667" s="142" t="s">
        <v>512</v>
      </c>
      <c r="M667" s="170"/>
    </row>
    <row r="668" spans="1:13">
      <c r="A668" s="2"/>
      <c r="B668" s="61" t="s">
        <v>813</v>
      </c>
      <c r="C668" s="59">
        <v>125</v>
      </c>
      <c r="D668" s="59">
        <v>13.1</v>
      </c>
      <c r="E668" s="59">
        <v>7.1</v>
      </c>
      <c r="F668" s="59">
        <v>9.4</v>
      </c>
      <c r="G668" s="59">
        <v>0.8</v>
      </c>
      <c r="H668" s="59" t="s">
        <v>101</v>
      </c>
      <c r="I668" s="59">
        <v>94</v>
      </c>
      <c r="J668" s="110">
        <f t="shared" si="19"/>
        <v>11.75</v>
      </c>
      <c r="K668" s="172">
        <v>94</v>
      </c>
      <c r="L668" s="142" t="s">
        <v>512</v>
      </c>
      <c r="M668" s="170"/>
    </row>
    <row r="669" spans="1:13">
      <c r="A669" s="2"/>
      <c r="B669" s="61" t="s">
        <v>809</v>
      </c>
      <c r="C669" s="59">
        <v>19</v>
      </c>
      <c r="D669" s="59">
        <v>0.94</v>
      </c>
      <c r="E669" s="59">
        <v>0.24</v>
      </c>
      <c r="F669" s="59">
        <v>4.04</v>
      </c>
      <c r="G669" s="59">
        <v>1.9</v>
      </c>
      <c r="H669" s="59" t="s">
        <v>109</v>
      </c>
      <c r="I669" s="59">
        <v>130</v>
      </c>
      <c r="J669" s="110">
        <f t="shared" si="19"/>
        <v>32.5</v>
      </c>
      <c r="K669" s="172">
        <v>130</v>
      </c>
      <c r="L669" s="142" t="s">
        <v>512</v>
      </c>
      <c r="M669" s="170"/>
    </row>
    <row r="670" spans="1:13">
      <c r="A670" s="2"/>
      <c r="B670" s="61" t="s">
        <v>163</v>
      </c>
      <c r="C670" s="59">
        <v>40</v>
      </c>
      <c r="D670" s="59">
        <v>0.8</v>
      </c>
      <c r="E670" s="59">
        <v>0.1</v>
      </c>
      <c r="F670" s="59">
        <v>10.42</v>
      </c>
      <c r="G670" s="59">
        <v>1.5</v>
      </c>
      <c r="H670" s="59" t="s">
        <v>168</v>
      </c>
      <c r="I670" s="59">
        <v>140</v>
      </c>
      <c r="J670" s="109">
        <f t="shared" si="19"/>
        <v>17.5</v>
      </c>
      <c r="K670" s="172">
        <v>140</v>
      </c>
      <c r="L670" s="142" t="s">
        <v>512</v>
      </c>
      <c r="M670" s="170"/>
    </row>
    <row r="671" spans="1:13">
      <c r="A671" s="2"/>
      <c r="B671" s="61" t="s">
        <v>1370</v>
      </c>
      <c r="C671" s="59">
        <v>45</v>
      </c>
      <c r="D671" s="59">
        <v>1</v>
      </c>
      <c r="E671" s="59">
        <v>0.1</v>
      </c>
      <c r="F671" s="59">
        <v>11.69</v>
      </c>
      <c r="G671" s="59">
        <v>2</v>
      </c>
      <c r="H671" s="59" t="s">
        <v>168</v>
      </c>
      <c r="I671" s="59">
        <v>140</v>
      </c>
      <c r="J671" s="110">
        <f t="shared" si="19"/>
        <v>17.5</v>
      </c>
      <c r="K671" s="172">
        <v>140</v>
      </c>
      <c r="L671" s="142" t="s">
        <v>512</v>
      </c>
      <c r="M671" s="170"/>
    </row>
    <row r="672" spans="1:13">
      <c r="A672" s="2"/>
      <c r="B672" s="61" t="s">
        <v>164</v>
      </c>
      <c r="C672" s="59">
        <v>112</v>
      </c>
      <c r="D672" s="59">
        <v>1.5</v>
      </c>
      <c r="E672" s="59">
        <v>0.2</v>
      </c>
      <c r="F672" s="59">
        <v>26.46</v>
      </c>
      <c r="G672" s="59">
        <v>4.0999999999999996</v>
      </c>
      <c r="H672" s="59" t="s">
        <v>109</v>
      </c>
      <c r="I672" s="59">
        <v>104</v>
      </c>
      <c r="J672" s="110">
        <f t="shared" si="19"/>
        <v>26</v>
      </c>
      <c r="K672" s="172">
        <v>104</v>
      </c>
      <c r="L672" s="142" t="s">
        <v>512</v>
      </c>
      <c r="M672" s="170"/>
    </row>
    <row r="673" spans="1:13">
      <c r="A673" s="2"/>
      <c r="B673" s="61" t="s">
        <v>165</v>
      </c>
      <c r="C673" s="59">
        <v>23</v>
      </c>
      <c r="D673" s="59">
        <v>1.2</v>
      </c>
      <c r="E673" s="59">
        <v>0.2</v>
      </c>
      <c r="F673" s="59">
        <v>5.0999999999999996</v>
      </c>
      <c r="G673" s="59">
        <v>1.1000000000000001</v>
      </c>
      <c r="H673" s="59" t="s">
        <v>101</v>
      </c>
      <c r="I673" s="59">
        <v>182</v>
      </c>
      <c r="J673" s="109">
        <f t="shared" si="19"/>
        <v>22.75</v>
      </c>
      <c r="K673" s="172">
        <v>182</v>
      </c>
      <c r="L673" s="142" t="s">
        <v>512</v>
      </c>
      <c r="M673" s="170"/>
    </row>
    <row r="674" spans="1:13">
      <c r="A674" s="2"/>
      <c r="B674" s="61" t="s">
        <v>1371</v>
      </c>
      <c r="C674" s="59">
        <v>18</v>
      </c>
      <c r="D674" s="59">
        <v>0.88</v>
      </c>
      <c r="E674" s="59">
        <v>0.2</v>
      </c>
      <c r="F674" s="59">
        <v>3.92</v>
      </c>
      <c r="G674" s="59">
        <v>1.2</v>
      </c>
      <c r="H674" s="59" t="s">
        <v>166</v>
      </c>
      <c r="I674" s="59">
        <v>149</v>
      </c>
      <c r="J674" s="109">
        <f t="shared" si="19"/>
        <v>18.625</v>
      </c>
      <c r="K674" s="172">
        <v>149</v>
      </c>
      <c r="L674" s="142" t="s">
        <v>512</v>
      </c>
      <c r="M674" s="170"/>
    </row>
    <row r="675" spans="1:13">
      <c r="A675" s="2"/>
      <c r="B675" s="61" t="s">
        <v>990</v>
      </c>
      <c r="C675" s="59">
        <v>258</v>
      </c>
      <c r="D675" s="59">
        <v>14.11</v>
      </c>
      <c r="E675" s="59">
        <v>2.97</v>
      </c>
      <c r="F675" s="59">
        <v>55.76</v>
      </c>
      <c r="G675" s="59">
        <v>12.3</v>
      </c>
      <c r="H675" s="59" t="s">
        <v>1455</v>
      </c>
      <c r="I675" s="59">
        <v>2</v>
      </c>
      <c r="J675" s="109">
        <f t="shared" si="19"/>
        <v>1</v>
      </c>
      <c r="K675" s="172">
        <v>2</v>
      </c>
      <c r="L675" s="142" t="s">
        <v>596</v>
      </c>
      <c r="M675" s="170"/>
    </row>
    <row r="676" spans="1:13">
      <c r="A676" s="2"/>
      <c r="B676" s="61" t="s">
        <v>811</v>
      </c>
      <c r="C676" s="59">
        <v>213</v>
      </c>
      <c r="D676" s="59">
        <v>5.0599999999999996</v>
      </c>
      <c r="E676" s="59">
        <v>14.08</v>
      </c>
      <c r="F676" s="59">
        <v>23.33</v>
      </c>
      <c r="G676" s="59">
        <v>5.8</v>
      </c>
      <c r="H676" s="59" t="s">
        <v>1455</v>
      </c>
      <c r="I676" s="59">
        <v>3</v>
      </c>
      <c r="J676" s="109">
        <f t="shared" si="19"/>
        <v>1.5</v>
      </c>
      <c r="K676" s="172">
        <v>3</v>
      </c>
      <c r="L676" s="142" t="s">
        <v>596</v>
      </c>
      <c r="M676" s="170"/>
    </row>
    <row r="677" spans="1:13">
      <c r="A677" s="2"/>
      <c r="B677" s="61" t="s">
        <v>368</v>
      </c>
      <c r="C677" s="59">
        <v>28</v>
      </c>
      <c r="D677" s="59">
        <v>0.9</v>
      </c>
      <c r="E677" s="59">
        <v>0.1</v>
      </c>
      <c r="F677" s="59">
        <v>6.43</v>
      </c>
      <c r="G677" s="59">
        <v>1.8</v>
      </c>
      <c r="H677" s="59" t="s">
        <v>168</v>
      </c>
      <c r="I677" s="59">
        <v>130</v>
      </c>
      <c r="J677" s="109">
        <f t="shared" si="19"/>
        <v>16.25</v>
      </c>
      <c r="K677" s="172">
        <v>130</v>
      </c>
      <c r="L677" s="142" t="s">
        <v>512</v>
      </c>
      <c r="M677" s="170"/>
    </row>
    <row r="678" spans="1:13">
      <c r="A678" s="2"/>
      <c r="B678" s="61" t="s">
        <v>812</v>
      </c>
      <c r="C678" s="59">
        <v>97</v>
      </c>
      <c r="D678" s="59">
        <v>1.4</v>
      </c>
      <c r="E678" s="59">
        <v>0.1</v>
      </c>
      <c r="F678" s="59">
        <v>23.94</v>
      </c>
      <c r="G678" s="59">
        <v>3</v>
      </c>
      <c r="H678" s="59" t="s">
        <v>369</v>
      </c>
      <c r="I678" s="59">
        <v>36</v>
      </c>
      <c r="J678" s="109">
        <f t="shared" si="19"/>
        <v>9</v>
      </c>
      <c r="K678" s="172">
        <v>9</v>
      </c>
      <c r="L678" s="148" t="s">
        <v>209</v>
      </c>
      <c r="M678" s="170"/>
    </row>
    <row r="679" spans="1:13">
      <c r="A679" s="2"/>
      <c r="B679" s="61" t="s">
        <v>1372</v>
      </c>
      <c r="C679" s="59">
        <v>118</v>
      </c>
      <c r="D679" s="59">
        <v>1.53</v>
      </c>
      <c r="E679" s="59">
        <v>0.17</v>
      </c>
      <c r="F679" s="59">
        <v>27.88</v>
      </c>
      <c r="G679" s="59">
        <v>4.0999999999999996</v>
      </c>
      <c r="H679" s="59" t="s">
        <v>168</v>
      </c>
      <c r="I679" s="59">
        <v>150</v>
      </c>
      <c r="J679" s="110">
        <f t="shared" si="19"/>
        <v>18.75</v>
      </c>
      <c r="K679" s="172">
        <v>150</v>
      </c>
      <c r="L679" s="142" t="s">
        <v>512</v>
      </c>
      <c r="M679" s="170"/>
    </row>
    <row r="680" spans="1:13" ht="13.5" thickBot="1">
      <c r="A680" s="2"/>
      <c r="B680" s="63" t="s">
        <v>810</v>
      </c>
      <c r="C680" s="64">
        <v>16</v>
      </c>
      <c r="D680" s="64">
        <v>1.21</v>
      </c>
      <c r="E680" s="64">
        <v>0.18</v>
      </c>
      <c r="F680" s="64">
        <v>3.35</v>
      </c>
      <c r="G680" s="64">
        <v>1.1000000000000001</v>
      </c>
      <c r="H680" s="64" t="s">
        <v>1449</v>
      </c>
      <c r="I680" s="64">
        <v>124</v>
      </c>
      <c r="J680" s="111">
        <f t="shared" si="19"/>
        <v>15.5</v>
      </c>
      <c r="K680" s="173">
        <v>124</v>
      </c>
      <c r="L680" s="144" t="s">
        <v>512</v>
      </c>
      <c r="M680" s="170"/>
    </row>
    <row r="681" spans="1:13" ht="14.25" thickTop="1" thickBot="1">
      <c r="M681" s="170"/>
    </row>
    <row r="682" spans="1:13" ht="18.75" thickTop="1">
      <c r="B682" s="66" t="s">
        <v>36</v>
      </c>
      <c r="C682" s="67" t="s">
        <v>1474</v>
      </c>
      <c r="D682" s="68" t="s">
        <v>99</v>
      </c>
      <c r="E682" s="67" t="s">
        <v>1475</v>
      </c>
      <c r="F682" s="67" t="s">
        <v>1476</v>
      </c>
      <c r="G682" s="67" t="s">
        <v>1477</v>
      </c>
      <c r="H682" s="68" t="s">
        <v>918</v>
      </c>
      <c r="I682" s="68" t="s">
        <v>919</v>
      </c>
      <c r="J682" s="67" t="s">
        <v>467</v>
      </c>
      <c r="K682" s="67" t="s">
        <v>203</v>
      </c>
      <c r="L682" s="69"/>
      <c r="M682" s="170"/>
    </row>
    <row r="683" spans="1:13">
      <c r="A683" s="2"/>
      <c r="B683" s="61" t="s">
        <v>249</v>
      </c>
      <c r="C683" s="59">
        <v>633</v>
      </c>
      <c r="D683" s="59">
        <v>15.08</v>
      </c>
      <c r="E683" s="59">
        <v>59.1</v>
      </c>
      <c r="F683" s="59">
        <v>21.22</v>
      </c>
      <c r="G683" s="59">
        <v>3.7</v>
      </c>
      <c r="H683" s="101" t="s">
        <v>101</v>
      </c>
      <c r="I683" s="101">
        <v>250</v>
      </c>
      <c r="J683" s="109">
        <f t="shared" ref="J683:J709" si="20">I683*VLOOKUP(H683,Fractional,2,FALSE)</f>
        <v>31.25</v>
      </c>
      <c r="K683" s="171">
        <v>250</v>
      </c>
      <c r="L683" s="143" t="s">
        <v>512</v>
      </c>
      <c r="M683" s="170"/>
    </row>
    <row r="684" spans="1:13">
      <c r="A684" s="2"/>
      <c r="B684" s="61" t="s">
        <v>250</v>
      </c>
      <c r="C684" s="59">
        <v>575</v>
      </c>
      <c r="D684" s="59">
        <v>21.22</v>
      </c>
      <c r="E684" s="59">
        <v>49.42</v>
      </c>
      <c r="F684" s="59">
        <v>21.67</v>
      </c>
      <c r="G684" s="59">
        <v>12.2</v>
      </c>
      <c r="H684" s="59" t="s">
        <v>1019</v>
      </c>
      <c r="I684" s="59">
        <v>95</v>
      </c>
      <c r="J684" s="109">
        <f t="shared" si="20"/>
        <v>11.875</v>
      </c>
      <c r="K684" s="172">
        <v>95</v>
      </c>
      <c r="L684" s="142" t="s">
        <v>512</v>
      </c>
      <c r="M684" s="170"/>
    </row>
    <row r="685" spans="1:13">
      <c r="A685" s="2"/>
      <c r="B685" s="61" t="s">
        <v>814</v>
      </c>
      <c r="C685" s="59">
        <v>588</v>
      </c>
      <c r="D685" s="146">
        <v>25.09</v>
      </c>
      <c r="E685" s="146">
        <v>50.39</v>
      </c>
      <c r="F685" s="146">
        <v>19.559999999999999</v>
      </c>
      <c r="G685" s="146">
        <v>6</v>
      </c>
      <c r="H685" s="59" t="s">
        <v>102</v>
      </c>
      <c r="I685" s="59">
        <v>14</v>
      </c>
      <c r="J685" s="109">
        <f t="shared" si="20"/>
        <v>7</v>
      </c>
      <c r="K685" s="172">
        <v>14</v>
      </c>
      <c r="L685" s="142" t="s">
        <v>536</v>
      </c>
      <c r="M685" s="170"/>
    </row>
    <row r="686" spans="1:13">
      <c r="A686" s="2"/>
      <c r="B686" s="61" t="s">
        <v>251</v>
      </c>
      <c r="C686" s="59">
        <v>573</v>
      </c>
      <c r="D686" s="59">
        <v>17.73</v>
      </c>
      <c r="E686" s="59">
        <v>49.67</v>
      </c>
      <c r="F686" s="59">
        <v>23.45</v>
      </c>
      <c r="G686" s="59">
        <v>11.8</v>
      </c>
      <c r="H686" s="59" t="s">
        <v>101</v>
      </c>
      <c r="I686" s="59">
        <v>144</v>
      </c>
      <c r="J686" s="109">
        <f t="shared" si="20"/>
        <v>18</v>
      </c>
      <c r="K686" s="172">
        <v>144</v>
      </c>
      <c r="L686" s="142" t="s">
        <v>512</v>
      </c>
      <c r="M686" s="170"/>
    </row>
    <row r="687" spans="1:13">
      <c r="A687" s="2"/>
      <c r="B687" s="61" t="s">
        <v>1018</v>
      </c>
      <c r="C687" s="59">
        <v>387</v>
      </c>
      <c r="D687" s="59">
        <v>6.15</v>
      </c>
      <c r="E687" s="59">
        <v>23.86</v>
      </c>
      <c r="F687" s="59">
        <v>40.75</v>
      </c>
      <c r="G687" s="62"/>
      <c r="H687" s="59" t="s">
        <v>104</v>
      </c>
      <c r="I687" s="59">
        <v>28.35</v>
      </c>
      <c r="J687" s="110">
        <f t="shared" si="20"/>
        <v>14.175000000000001</v>
      </c>
      <c r="K687" s="172">
        <v>28.35</v>
      </c>
      <c r="L687" s="142" t="s">
        <v>537</v>
      </c>
      <c r="M687" s="170"/>
    </row>
    <row r="688" spans="1:13">
      <c r="A688" s="2"/>
      <c r="B688" s="61" t="s">
        <v>1020</v>
      </c>
      <c r="C688" s="59">
        <v>458</v>
      </c>
      <c r="D688" s="59">
        <v>9</v>
      </c>
      <c r="E688" s="59">
        <v>27.74</v>
      </c>
      <c r="F688" s="59">
        <v>47.81</v>
      </c>
      <c r="G688" s="59">
        <v>4.8</v>
      </c>
      <c r="H688" s="59" t="s">
        <v>1021</v>
      </c>
      <c r="I688" s="59">
        <v>227</v>
      </c>
      <c r="J688" s="109">
        <f t="shared" si="20"/>
        <v>28.375</v>
      </c>
      <c r="K688" s="172">
        <v>227</v>
      </c>
      <c r="L688" s="142" t="s">
        <v>512</v>
      </c>
      <c r="M688" s="170"/>
    </row>
    <row r="689" spans="1:13">
      <c r="A689" s="2"/>
      <c r="B689" s="61" t="s">
        <v>1022</v>
      </c>
      <c r="C689" s="59">
        <v>576</v>
      </c>
      <c r="D689" s="59">
        <v>6.2</v>
      </c>
      <c r="E689" s="59">
        <v>50</v>
      </c>
      <c r="F689" s="59">
        <v>33.5</v>
      </c>
      <c r="G689" s="62"/>
      <c r="H689" s="59" t="s">
        <v>104</v>
      </c>
      <c r="I689" s="59">
        <v>28.35</v>
      </c>
      <c r="J689" s="110">
        <f t="shared" si="20"/>
        <v>14.175000000000001</v>
      </c>
      <c r="K689" s="172">
        <v>28.35</v>
      </c>
      <c r="L689" s="142" t="s">
        <v>537</v>
      </c>
      <c r="M689" s="170"/>
    </row>
    <row r="690" spans="1:13">
      <c r="A690" s="2"/>
      <c r="B690" s="61" t="s">
        <v>1023</v>
      </c>
      <c r="C690" s="59">
        <v>656</v>
      </c>
      <c r="D690" s="59">
        <v>14.32</v>
      </c>
      <c r="E690" s="59">
        <v>66.430000000000007</v>
      </c>
      <c r="F690" s="59">
        <v>12.27</v>
      </c>
      <c r="G690" s="59">
        <v>7.5</v>
      </c>
      <c r="H690" s="59" t="s">
        <v>167</v>
      </c>
      <c r="I690" s="59">
        <v>133.28</v>
      </c>
      <c r="J690" s="109">
        <f t="shared" si="20"/>
        <v>16.66</v>
      </c>
      <c r="K690" s="172">
        <v>133.28</v>
      </c>
      <c r="L690" s="142" t="s">
        <v>512</v>
      </c>
      <c r="M690" s="170"/>
    </row>
    <row r="691" spans="1:13">
      <c r="A691" s="2"/>
      <c r="B691" s="61" t="s">
        <v>1024</v>
      </c>
      <c r="C691" s="59">
        <v>612</v>
      </c>
      <c r="D691" s="59">
        <v>24.9</v>
      </c>
      <c r="E691" s="59">
        <v>56.98</v>
      </c>
      <c r="F691" s="59">
        <v>12.05</v>
      </c>
      <c r="G691" s="59">
        <v>4.7</v>
      </c>
      <c r="H691" s="59" t="s">
        <v>101</v>
      </c>
      <c r="I691" s="59">
        <v>120</v>
      </c>
      <c r="J691" s="109">
        <f t="shared" si="20"/>
        <v>15</v>
      </c>
      <c r="K691" s="172">
        <v>120</v>
      </c>
      <c r="L691" s="142" t="s">
        <v>512</v>
      </c>
      <c r="M691" s="170"/>
    </row>
    <row r="692" spans="1:13">
      <c r="A692" s="2"/>
      <c r="B692" s="61" t="s">
        <v>1376</v>
      </c>
      <c r="C692" s="59">
        <v>553</v>
      </c>
      <c r="D692" s="59">
        <v>18.22</v>
      </c>
      <c r="E692" s="59">
        <v>43.85</v>
      </c>
      <c r="F692" s="59">
        <v>30.19</v>
      </c>
      <c r="G692" s="59">
        <v>3.3</v>
      </c>
      <c r="H692" s="59" t="s">
        <v>104</v>
      </c>
      <c r="I692" s="59">
        <v>28.35</v>
      </c>
      <c r="J692" s="110">
        <f t="shared" si="20"/>
        <v>14.175000000000001</v>
      </c>
      <c r="K692" s="172">
        <v>28.35</v>
      </c>
      <c r="L692" s="142" t="s">
        <v>537</v>
      </c>
      <c r="M692" s="170"/>
    </row>
    <row r="693" spans="1:13">
      <c r="A693" s="2"/>
      <c r="B693" s="61" t="s">
        <v>1025</v>
      </c>
      <c r="C693" s="59">
        <v>224</v>
      </c>
      <c r="D693" s="59">
        <v>4.2</v>
      </c>
      <c r="E693" s="59">
        <v>1.1100000000000001</v>
      </c>
      <c r="F693" s="59">
        <v>49.07</v>
      </c>
      <c r="G693" s="62"/>
      <c r="H693" s="59" t="s">
        <v>104</v>
      </c>
      <c r="I693" s="59">
        <v>28.35</v>
      </c>
      <c r="J693" s="110">
        <f t="shared" si="20"/>
        <v>14.175000000000001</v>
      </c>
      <c r="K693" s="172">
        <v>28.35</v>
      </c>
      <c r="L693" s="142" t="s">
        <v>537</v>
      </c>
      <c r="M693" s="170"/>
    </row>
    <row r="694" spans="1:13">
      <c r="A694" s="2"/>
      <c r="B694" s="61" t="s">
        <v>307</v>
      </c>
      <c r="C694" s="59">
        <v>182</v>
      </c>
      <c r="D694" s="59">
        <v>4.32</v>
      </c>
      <c r="E694" s="59">
        <v>1.68</v>
      </c>
      <c r="F694" s="59">
        <v>37.6</v>
      </c>
      <c r="G694" s="62"/>
      <c r="H694" s="59" t="s">
        <v>104</v>
      </c>
      <c r="I694" s="59">
        <v>28.35</v>
      </c>
      <c r="J694" s="110">
        <f t="shared" si="20"/>
        <v>14.175000000000001</v>
      </c>
      <c r="K694" s="172">
        <v>28.35</v>
      </c>
      <c r="L694" s="142" t="s">
        <v>537</v>
      </c>
      <c r="M694" s="170"/>
    </row>
    <row r="695" spans="1:13">
      <c r="A695" s="2"/>
      <c r="B695" s="61" t="s">
        <v>1026</v>
      </c>
      <c r="C695" s="59">
        <v>628</v>
      </c>
      <c r="D695" s="59">
        <v>14.95</v>
      </c>
      <c r="E695" s="59">
        <v>60.75</v>
      </c>
      <c r="F695" s="59">
        <v>16.7</v>
      </c>
      <c r="G695" s="59">
        <v>9.6999999999999993</v>
      </c>
      <c r="H695" s="59" t="s">
        <v>1449</v>
      </c>
      <c r="I695" s="59">
        <v>115</v>
      </c>
      <c r="J695" s="109">
        <f t="shared" si="20"/>
        <v>14.375</v>
      </c>
      <c r="K695" s="172">
        <v>115</v>
      </c>
      <c r="L695" s="142" t="s">
        <v>512</v>
      </c>
      <c r="M695" s="170"/>
    </row>
    <row r="696" spans="1:13">
      <c r="A696" s="2"/>
      <c r="B696" s="61" t="s">
        <v>308</v>
      </c>
      <c r="C696" s="59">
        <v>718</v>
      </c>
      <c r="D696" s="59">
        <v>7.91</v>
      </c>
      <c r="E696" s="59">
        <v>75.77</v>
      </c>
      <c r="F696" s="59">
        <v>13.82</v>
      </c>
      <c r="G696" s="59">
        <v>8.6</v>
      </c>
      <c r="H696" s="59" t="s">
        <v>309</v>
      </c>
      <c r="I696" s="59">
        <v>134</v>
      </c>
      <c r="J696" s="109">
        <f t="shared" si="20"/>
        <v>16.75</v>
      </c>
      <c r="K696" s="172">
        <v>134</v>
      </c>
      <c r="L696" s="142" t="s">
        <v>512</v>
      </c>
      <c r="M696" s="170"/>
    </row>
    <row r="697" spans="1:13">
      <c r="A697" s="2"/>
      <c r="B697" s="61" t="s">
        <v>815</v>
      </c>
      <c r="C697" s="59">
        <v>594</v>
      </c>
      <c r="D697" s="59">
        <v>17.3</v>
      </c>
      <c r="E697" s="59">
        <v>51.45</v>
      </c>
      <c r="F697" s="59">
        <v>25.35</v>
      </c>
      <c r="G697" s="59">
        <v>9</v>
      </c>
      <c r="H697" s="59" t="s">
        <v>101</v>
      </c>
      <c r="I697" s="59">
        <v>137</v>
      </c>
      <c r="J697" s="109">
        <f t="shared" si="20"/>
        <v>17.125</v>
      </c>
      <c r="K697" s="172">
        <v>137</v>
      </c>
      <c r="L697" s="142" t="s">
        <v>512</v>
      </c>
      <c r="M697" s="170"/>
    </row>
    <row r="698" spans="1:13">
      <c r="A698" s="2"/>
      <c r="B698" s="61" t="s">
        <v>1107</v>
      </c>
      <c r="C698" s="59">
        <v>567</v>
      </c>
      <c r="D698" s="59">
        <v>25.8</v>
      </c>
      <c r="E698" s="59">
        <v>49.24</v>
      </c>
      <c r="F698" s="59">
        <v>16.13</v>
      </c>
      <c r="G698" s="59">
        <v>8.5</v>
      </c>
      <c r="H698" s="59" t="s">
        <v>101</v>
      </c>
      <c r="I698" s="59">
        <v>146</v>
      </c>
      <c r="J698" s="109">
        <f t="shared" si="20"/>
        <v>18.25</v>
      </c>
      <c r="K698" s="172">
        <v>146</v>
      </c>
      <c r="L698" s="142" t="s">
        <v>512</v>
      </c>
      <c r="M698" s="170"/>
    </row>
    <row r="699" spans="1:13">
      <c r="A699" s="2"/>
      <c r="B699" s="61" t="s">
        <v>1029</v>
      </c>
      <c r="C699" s="59">
        <v>570</v>
      </c>
      <c r="D699" s="59">
        <v>26.15</v>
      </c>
      <c r="E699" s="59">
        <v>49.6</v>
      </c>
      <c r="F699" s="59">
        <v>15.82</v>
      </c>
      <c r="G699" s="59">
        <v>9.5</v>
      </c>
      <c r="H699" s="59" t="s">
        <v>101</v>
      </c>
      <c r="I699" s="59">
        <v>146</v>
      </c>
      <c r="J699" s="109">
        <f t="shared" si="20"/>
        <v>18.25</v>
      </c>
      <c r="K699" s="172">
        <v>146</v>
      </c>
      <c r="L699" s="142" t="s">
        <v>512</v>
      </c>
      <c r="M699" s="170"/>
    </row>
    <row r="700" spans="1:13">
      <c r="A700" s="2"/>
      <c r="B700" s="61" t="s">
        <v>1030</v>
      </c>
      <c r="C700" s="59">
        <v>570</v>
      </c>
      <c r="D700" s="59">
        <v>25.09</v>
      </c>
      <c r="E700" s="59">
        <v>47.58</v>
      </c>
      <c r="F700" s="59">
        <v>20.91</v>
      </c>
      <c r="G700" s="59">
        <v>8.6999999999999993</v>
      </c>
      <c r="H700" s="59" t="s">
        <v>101</v>
      </c>
      <c r="I700" s="59">
        <v>146</v>
      </c>
      <c r="J700" s="109">
        <f t="shared" si="20"/>
        <v>18.25</v>
      </c>
      <c r="K700" s="172">
        <v>146</v>
      </c>
      <c r="L700" s="142" t="s">
        <v>512</v>
      </c>
      <c r="M700" s="170"/>
    </row>
    <row r="701" spans="1:13">
      <c r="A701" s="2"/>
      <c r="B701" s="61" t="s">
        <v>1031</v>
      </c>
      <c r="C701" s="59">
        <v>563</v>
      </c>
      <c r="D701" s="59">
        <v>25.19</v>
      </c>
      <c r="E701" s="59">
        <v>48.75</v>
      </c>
      <c r="F701" s="59">
        <v>16.54</v>
      </c>
      <c r="G701" s="59">
        <v>8.5</v>
      </c>
      <c r="H701" s="59" t="s">
        <v>101</v>
      </c>
      <c r="I701" s="59">
        <v>146</v>
      </c>
      <c r="J701" s="109">
        <f t="shared" si="20"/>
        <v>18.25</v>
      </c>
      <c r="K701" s="172">
        <v>146</v>
      </c>
      <c r="L701" s="142" t="s">
        <v>512</v>
      </c>
      <c r="M701" s="170"/>
    </row>
    <row r="702" spans="1:13">
      <c r="A702" s="2"/>
      <c r="B702" s="61" t="s">
        <v>310</v>
      </c>
      <c r="C702" s="59">
        <v>691</v>
      </c>
      <c r="D702" s="59">
        <v>9.17</v>
      </c>
      <c r="E702" s="59">
        <v>71.97</v>
      </c>
      <c r="F702" s="59">
        <v>13.86</v>
      </c>
      <c r="G702" s="59">
        <v>9.6</v>
      </c>
      <c r="H702" s="59" t="s">
        <v>1449</v>
      </c>
      <c r="I702" s="59">
        <v>109.45</v>
      </c>
      <c r="J702" s="109">
        <f t="shared" si="20"/>
        <v>13.68125</v>
      </c>
      <c r="K702" s="172">
        <v>109.45</v>
      </c>
      <c r="L702" s="142" t="s">
        <v>512</v>
      </c>
      <c r="M702" s="170"/>
    </row>
    <row r="703" spans="1:13">
      <c r="A703" s="2"/>
      <c r="B703" s="61" t="s">
        <v>1377</v>
      </c>
      <c r="C703" s="59">
        <v>673</v>
      </c>
      <c r="D703" s="59">
        <v>13.69</v>
      </c>
      <c r="E703" s="59">
        <v>68.37</v>
      </c>
      <c r="F703" s="59">
        <v>13.08</v>
      </c>
      <c r="G703" s="59">
        <v>3.7</v>
      </c>
      <c r="H703" s="59" t="s">
        <v>101</v>
      </c>
      <c r="I703" s="59">
        <v>135.08000000000001</v>
      </c>
      <c r="J703" s="109">
        <f t="shared" si="20"/>
        <v>16.885000000000002</v>
      </c>
      <c r="K703" s="172">
        <v>135.08000000000001</v>
      </c>
      <c r="L703" s="142" t="s">
        <v>512</v>
      </c>
      <c r="M703" s="170"/>
    </row>
    <row r="704" spans="1:13">
      <c r="A704" s="2"/>
      <c r="B704" s="61" t="s">
        <v>311</v>
      </c>
      <c r="C704" s="59">
        <v>557</v>
      </c>
      <c r="D704" s="59">
        <v>20.61</v>
      </c>
      <c r="E704" s="59">
        <v>44.44</v>
      </c>
      <c r="F704" s="59">
        <v>27.97</v>
      </c>
      <c r="G704" s="59">
        <v>10.3</v>
      </c>
      <c r="H704" s="59" t="s">
        <v>101</v>
      </c>
      <c r="I704" s="59">
        <v>122.53</v>
      </c>
      <c r="J704" s="109">
        <f t="shared" si="20"/>
        <v>15.31625</v>
      </c>
      <c r="K704" s="172">
        <v>122.53</v>
      </c>
      <c r="L704" s="142" t="s">
        <v>512</v>
      </c>
      <c r="M704" s="170"/>
    </row>
    <row r="705" spans="1:13">
      <c r="A705" s="2"/>
      <c r="B705" s="61" t="s">
        <v>816</v>
      </c>
      <c r="C705" s="59">
        <v>541</v>
      </c>
      <c r="D705" s="59">
        <v>24.54</v>
      </c>
      <c r="E705" s="59">
        <v>45.85</v>
      </c>
      <c r="F705" s="59">
        <v>17.809999999999999</v>
      </c>
      <c r="G705" s="59">
        <v>3.9</v>
      </c>
      <c r="H705" s="59" t="s">
        <v>101</v>
      </c>
      <c r="I705" s="59">
        <v>138</v>
      </c>
      <c r="J705" s="109">
        <f t="shared" si="20"/>
        <v>17.25</v>
      </c>
      <c r="K705" s="172">
        <v>138</v>
      </c>
      <c r="L705" s="142" t="s">
        <v>512</v>
      </c>
      <c r="M705" s="170"/>
    </row>
    <row r="706" spans="1:13">
      <c r="A706" s="2"/>
      <c r="B706" s="61" t="s">
        <v>1374</v>
      </c>
      <c r="C706" s="59">
        <v>517</v>
      </c>
      <c r="D706" s="59">
        <v>16.18</v>
      </c>
      <c r="E706" s="59">
        <v>38.450000000000003</v>
      </c>
      <c r="F706" s="59">
        <v>34.29</v>
      </c>
      <c r="G706" s="62"/>
      <c r="H706" s="59" t="s">
        <v>104</v>
      </c>
      <c r="I706" s="59">
        <v>28.35</v>
      </c>
      <c r="J706" s="110">
        <f t="shared" si="20"/>
        <v>14.175000000000001</v>
      </c>
      <c r="K706" s="172">
        <v>28.35</v>
      </c>
      <c r="L706" s="142" t="s">
        <v>537</v>
      </c>
      <c r="M706" s="170"/>
    </row>
    <row r="707" spans="1:13">
      <c r="A707" s="2"/>
      <c r="B707" s="61" t="s">
        <v>817</v>
      </c>
      <c r="C707" s="59">
        <v>342</v>
      </c>
      <c r="D707" s="59">
        <v>35.619999999999997</v>
      </c>
      <c r="E707" s="59">
        <v>2.39</v>
      </c>
      <c r="F707" s="59">
        <v>48.73</v>
      </c>
      <c r="G707" s="62"/>
      <c r="H707" s="59" t="s">
        <v>104</v>
      </c>
      <c r="I707" s="59">
        <v>28.35</v>
      </c>
      <c r="J707" s="110">
        <f t="shared" si="20"/>
        <v>14.175000000000001</v>
      </c>
      <c r="K707" s="172">
        <v>28.35</v>
      </c>
      <c r="L707" s="142" t="s">
        <v>537</v>
      </c>
      <c r="M707" s="170"/>
    </row>
    <row r="708" spans="1:13">
      <c r="A708" s="2"/>
      <c r="B708" s="61" t="s">
        <v>1375</v>
      </c>
      <c r="C708" s="59">
        <v>584</v>
      </c>
      <c r="D708" s="59">
        <v>20.78</v>
      </c>
      <c r="E708" s="59">
        <v>51.46</v>
      </c>
      <c r="F708" s="59">
        <v>20</v>
      </c>
      <c r="G708" s="59">
        <v>8.6</v>
      </c>
      <c r="H708" s="59" t="s">
        <v>1017</v>
      </c>
      <c r="I708" s="59">
        <v>46</v>
      </c>
      <c r="J708" s="109">
        <f t="shared" si="20"/>
        <v>5.75</v>
      </c>
      <c r="K708" s="172">
        <v>46</v>
      </c>
      <c r="L708" s="142" t="s">
        <v>512</v>
      </c>
      <c r="M708" s="170"/>
    </row>
    <row r="709" spans="1:13" ht="13.5" thickBot="1">
      <c r="A709" s="2"/>
      <c r="B709" s="63" t="s">
        <v>312</v>
      </c>
      <c r="C709" s="64">
        <v>654</v>
      </c>
      <c r="D709" s="64">
        <v>15.23</v>
      </c>
      <c r="E709" s="64">
        <v>65.209999999999994</v>
      </c>
      <c r="F709" s="64">
        <v>13.71</v>
      </c>
      <c r="G709" s="64">
        <v>6.7</v>
      </c>
      <c r="H709" s="64" t="s">
        <v>1449</v>
      </c>
      <c r="I709" s="64">
        <v>117.09</v>
      </c>
      <c r="J709" s="111">
        <f t="shared" si="20"/>
        <v>14.63625</v>
      </c>
      <c r="K709" s="173">
        <v>117.09</v>
      </c>
      <c r="L709" s="144" t="s">
        <v>512</v>
      </c>
      <c r="M709" s="170"/>
    </row>
    <row r="710" spans="1:13" ht="14.25" thickTop="1" thickBot="1">
      <c r="M710" s="170"/>
    </row>
    <row r="711" spans="1:13" ht="18.75" thickTop="1">
      <c r="B711" s="66" t="s">
        <v>37</v>
      </c>
      <c r="C711" s="67" t="s">
        <v>1474</v>
      </c>
      <c r="D711" s="68" t="s">
        <v>99</v>
      </c>
      <c r="E711" s="67" t="s">
        <v>1475</v>
      </c>
      <c r="F711" s="67" t="s">
        <v>1476</v>
      </c>
      <c r="G711" s="67" t="s">
        <v>1477</v>
      </c>
      <c r="H711" s="68" t="s">
        <v>918</v>
      </c>
      <c r="I711" s="68" t="s">
        <v>919</v>
      </c>
      <c r="J711" s="67" t="s">
        <v>467</v>
      </c>
      <c r="K711" s="67" t="s">
        <v>203</v>
      </c>
      <c r="L711" s="69"/>
      <c r="M711" s="170"/>
    </row>
    <row r="712" spans="1:13">
      <c r="A712" s="2"/>
      <c r="B712" s="61" t="s">
        <v>818</v>
      </c>
      <c r="C712" s="59">
        <v>137</v>
      </c>
      <c r="D712" s="59">
        <v>21.41</v>
      </c>
      <c r="E712" s="59">
        <v>5</v>
      </c>
      <c r="F712" s="59">
        <v>0</v>
      </c>
      <c r="G712" s="59">
        <v>0</v>
      </c>
      <c r="H712" s="101" t="s">
        <v>925</v>
      </c>
      <c r="I712" s="101">
        <v>114</v>
      </c>
      <c r="J712" s="109">
        <f t="shared" ref="J712:J743" si="21">I712*VLOOKUP(H712,Fractional,2,FALSE)</f>
        <v>57</v>
      </c>
      <c r="K712" s="171">
        <v>456</v>
      </c>
      <c r="L712" s="176" t="s">
        <v>555</v>
      </c>
      <c r="M712" s="170"/>
    </row>
    <row r="713" spans="1:13">
      <c r="A713" s="2"/>
      <c r="B713" s="61" t="s">
        <v>819</v>
      </c>
      <c r="C713" s="59">
        <v>203</v>
      </c>
      <c r="D713" s="59">
        <v>20.37</v>
      </c>
      <c r="E713" s="59">
        <v>12.81</v>
      </c>
      <c r="F713" s="59">
        <v>0</v>
      </c>
      <c r="G713" s="59">
        <v>0</v>
      </c>
      <c r="H713" s="59" t="s">
        <v>954</v>
      </c>
      <c r="I713" s="59">
        <v>283</v>
      </c>
      <c r="J713" s="109">
        <f t="shared" si="21"/>
        <v>28.3</v>
      </c>
      <c r="K713" s="172">
        <v>28.3</v>
      </c>
      <c r="L713" s="142" t="s">
        <v>537</v>
      </c>
      <c r="M713" s="170"/>
    </row>
    <row r="714" spans="1:13">
      <c r="A714" s="2"/>
      <c r="B714" s="61" t="s">
        <v>820</v>
      </c>
      <c r="C714" s="59">
        <v>151</v>
      </c>
      <c r="D714" s="59">
        <v>20.48</v>
      </c>
      <c r="E714" s="59">
        <v>7.01</v>
      </c>
      <c r="F714" s="59">
        <v>0</v>
      </c>
      <c r="G714" s="59">
        <v>0</v>
      </c>
      <c r="H714" s="59" t="s">
        <v>954</v>
      </c>
      <c r="I714" s="59">
        <v>283</v>
      </c>
      <c r="J714" s="110">
        <f t="shared" si="21"/>
        <v>28.3</v>
      </c>
      <c r="K714" s="172">
        <v>28.3</v>
      </c>
      <c r="L714" s="142" t="s">
        <v>537</v>
      </c>
      <c r="M714" s="170"/>
    </row>
    <row r="715" spans="1:13">
      <c r="A715" s="2"/>
      <c r="B715" s="61" t="s">
        <v>821</v>
      </c>
      <c r="C715" s="59">
        <v>180</v>
      </c>
      <c r="D715" s="59">
        <v>22.06</v>
      </c>
      <c r="E715" s="59">
        <v>9.4600000000000009</v>
      </c>
      <c r="F715" s="59">
        <v>0</v>
      </c>
      <c r="G715" s="59">
        <v>0</v>
      </c>
      <c r="H715" s="59" t="s">
        <v>104</v>
      </c>
      <c r="I715" s="59">
        <v>28.35</v>
      </c>
      <c r="J715" s="109">
        <f t="shared" si="21"/>
        <v>14.175000000000001</v>
      </c>
      <c r="K715" s="172">
        <v>28.35</v>
      </c>
      <c r="L715" s="142" t="s">
        <v>537</v>
      </c>
      <c r="M715" s="170"/>
    </row>
    <row r="716" spans="1:13">
      <c r="A716" s="2"/>
      <c r="B716" s="61" t="s">
        <v>822</v>
      </c>
      <c r="C716" s="59">
        <v>177</v>
      </c>
      <c r="D716" s="59">
        <v>20.53</v>
      </c>
      <c r="E716" s="59">
        <v>9.8800000000000008</v>
      </c>
      <c r="F716" s="59">
        <v>0</v>
      </c>
      <c r="G716" s="59">
        <v>0</v>
      </c>
      <c r="H716" s="59" t="s">
        <v>104</v>
      </c>
      <c r="I716" s="59">
        <v>28.35</v>
      </c>
      <c r="J716" s="109">
        <f t="shared" si="21"/>
        <v>14.175000000000001</v>
      </c>
      <c r="K716" s="172">
        <v>28.35</v>
      </c>
      <c r="L716" s="142" t="s">
        <v>537</v>
      </c>
      <c r="M716" s="170"/>
    </row>
    <row r="717" spans="1:13">
      <c r="A717" s="2"/>
      <c r="B717" s="61" t="s">
        <v>823</v>
      </c>
      <c r="C717" s="59">
        <v>134</v>
      </c>
      <c r="D717" s="59">
        <v>20.21</v>
      </c>
      <c r="E717" s="59">
        <v>5.28</v>
      </c>
      <c r="F717" s="59">
        <v>0</v>
      </c>
      <c r="G717" s="59">
        <v>0</v>
      </c>
      <c r="H717" s="59" t="s">
        <v>104</v>
      </c>
      <c r="I717" s="59">
        <v>28.35</v>
      </c>
      <c r="J717" s="109">
        <f t="shared" si="21"/>
        <v>14.175000000000001</v>
      </c>
      <c r="K717" s="172">
        <v>28.35</v>
      </c>
      <c r="L717" s="142" t="s">
        <v>537</v>
      </c>
      <c r="M717" s="170"/>
    </row>
    <row r="718" spans="1:13">
      <c r="A718" s="2"/>
      <c r="B718" s="61" t="s">
        <v>252</v>
      </c>
      <c r="C718" s="59">
        <v>134</v>
      </c>
      <c r="D718" s="59">
        <v>20.55</v>
      </c>
      <c r="E718" s="59">
        <v>5.08</v>
      </c>
      <c r="F718" s="59">
        <v>0</v>
      </c>
      <c r="G718" s="59">
        <v>0</v>
      </c>
      <c r="H718" s="59" t="s">
        <v>104</v>
      </c>
      <c r="I718" s="59">
        <v>28.35</v>
      </c>
      <c r="J718" s="109">
        <f t="shared" si="21"/>
        <v>14.175000000000001</v>
      </c>
      <c r="K718" s="172">
        <v>28.35</v>
      </c>
      <c r="L718" s="142" t="s">
        <v>537</v>
      </c>
      <c r="M718" s="170"/>
    </row>
    <row r="719" spans="1:13">
      <c r="A719" s="2"/>
      <c r="B719" s="61" t="s">
        <v>253</v>
      </c>
      <c r="C719" s="59">
        <v>144</v>
      </c>
      <c r="D719" s="59">
        <v>19.350000000000001</v>
      </c>
      <c r="E719" s="59">
        <v>6.77</v>
      </c>
      <c r="F719" s="59">
        <v>0</v>
      </c>
      <c r="G719" s="59">
        <v>0</v>
      </c>
      <c r="H719" s="59" t="s">
        <v>104</v>
      </c>
      <c r="I719" s="59">
        <v>28.35</v>
      </c>
      <c r="J719" s="109">
        <f t="shared" si="21"/>
        <v>14.175000000000001</v>
      </c>
      <c r="K719" s="172">
        <v>28.35</v>
      </c>
      <c r="L719" s="142" t="s">
        <v>537</v>
      </c>
      <c r="M719" s="170"/>
    </row>
    <row r="720" spans="1:13">
      <c r="A720" s="2"/>
      <c r="B720" s="61" t="s">
        <v>824</v>
      </c>
      <c r="C720" s="59">
        <v>117</v>
      </c>
      <c r="D720" s="59">
        <v>20.98</v>
      </c>
      <c r="E720" s="59">
        <v>3.08</v>
      </c>
      <c r="F720" s="59">
        <v>0</v>
      </c>
      <c r="G720" s="59">
        <v>0</v>
      </c>
      <c r="H720" s="59" t="s">
        <v>104</v>
      </c>
      <c r="I720" s="59">
        <v>28.35</v>
      </c>
      <c r="J720" s="109">
        <f t="shared" si="21"/>
        <v>14.175000000000001</v>
      </c>
      <c r="K720" s="172">
        <v>28.35</v>
      </c>
      <c r="L720" s="142" t="s">
        <v>537</v>
      </c>
      <c r="M720" s="170"/>
    </row>
    <row r="721" spans="1:13">
      <c r="A721" s="2"/>
      <c r="B721" s="61" t="s">
        <v>1384</v>
      </c>
      <c r="C721" s="59">
        <v>165</v>
      </c>
      <c r="D721" s="59">
        <v>21.22</v>
      </c>
      <c r="E721" s="59">
        <v>8.2899999999999991</v>
      </c>
      <c r="F721" s="59">
        <v>0</v>
      </c>
      <c r="G721" s="59">
        <v>0</v>
      </c>
      <c r="H721" s="59" t="s">
        <v>104</v>
      </c>
      <c r="I721" s="59">
        <v>28.35</v>
      </c>
      <c r="J721" s="109">
        <f t="shared" si="21"/>
        <v>14.175000000000001</v>
      </c>
      <c r="K721" s="172">
        <v>28.35</v>
      </c>
      <c r="L721" s="142" t="s">
        <v>537</v>
      </c>
      <c r="M721" s="170"/>
    </row>
    <row r="722" spans="1:13">
      <c r="A722" s="2"/>
      <c r="B722" s="61" t="s">
        <v>828</v>
      </c>
      <c r="C722" s="59">
        <v>176</v>
      </c>
      <c r="D722" s="59">
        <v>20</v>
      </c>
      <c r="E722" s="59">
        <v>10</v>
      </c>
      <c r="F722" s="59">
        <v>0</v>
      </c>
      <c r="G722" s="59">
        <v>0</v>
      </c>
      <c r="H722" s="59" t="s">
        <v>925</v>
      </c>
      <c r="I722" s="59">
        <v>114</v>
      </c>
      <c r="J722" s="109">
        <f t="shared" si="21"/>
        <v>57</v>
      </c>
      <c r="K722" s="172">
        <v>456</v>
      </c>
      <c r="L722" s="148" t="s">
        <v>555</v>
      </c>
      <c r="M722" s="170"/>
    </row>
    <row r="723" spans="1:13">
      <c r="A723" s="2"/>
      <c r="B723" s="61" t="s">
        <v>827</v>
      </c>
      <c r="C723" s="59">
        <v>215</v>
      </c>
      <c r="D723" s="59">
        <v>18.59</v>
      </c>
      <c r="E723" s="59">
        <v>15</v>
      </c>
      <c r="F723" s="59">
        <v>0</v>
      </c>
      <c r="G723" s="59">
        <v>0</v>
      </c>
      <c r="H723" s="59" t="s">
        <v>925</v>
      </c>
      <c r="I723" s="59">
        <v>114</v>
      </c>
      <c r="J723" s="109">
        <f t="shared" si="21"/>
        <v>57</v>
      </c>
      <c r="K723" s="172">
        <v>456</v>
      </c>
      <c r="L723" s="148" t="s">
        <v>555</v>
      </c>
      <c r="M723" s="170"/>
    </row>
    <row r="724" spans="1:13">
      <c r="A724" s="2"/>
      <c r="B724" s="61" t="s">
        <v>826</v>
      </c>
      <c r="C724" s="59">
        <v>254</v>
      </c>
      <c r="D724" s="59">
        <v>17.170000000000002</v>
      </c>
      <c r="E724" s="59">
        <v>20</v>
      </c>
      <c r="F724" s="59">
        <v>0</v>
      </c>
      <c r="G724" s="59">
        <v>0</v>
      </c>
      <c r="H724" s="59" t="s">
        <v>925</v>
      </c>
      <c r="I724" s="59">
        <v>114</v>
      </c>
      <c r="J724" s="109">
        <f t="shared" si="21"/>
        <v>57</v>
      </c>
      <c r="K724" s="172">
        <v>456</v>
      </c>
      <c r="L724" s="148" t="s">
        <v>555</v>
      </c>
      <c r="M724" s="170"/>
    </row>
    <row r="725" spans="1:13">
      <c r="A725" s="2"/>
      <c r="B725" s="61" t="s">
        <v>825</v>
      </c>
      <c r="C725" s="59">
        <v>332</v>
      </c>
      <c r="D725" s="59">
        <v>14.35</v>
      </c>
      <c r="E725" s="59">
        <v>30</v>
      </c>
      <c r="F725" s="59">
        <v>0</v>
      </c>
      <c r="G725" s="59">
        <v>0</v>
      </c>
      <c r="H725" s="59" t="s">
        <v>925</v>
      </c>
      <c r="I725" s="59">
        <v>114</v>
      </c>
      <c r="J725" s="110">
        <f t="shared" si="21"/>
        <v>57</v>
      </c>
      <c r="K725" s="172">
        <v>456</v>
      </c>
      <c r="L725" s="148" t="s">
        <v>555</v>
      </c>
      <c r="M725" s="170"/>
    </row>
    <row r="726" spans="1:13">
      <c r="A726" s="2"/>
      <c r="B726" s="61" t="s">
        <v>829</v>
      </c>
      <c r="C726" s="59">
        <v>274</v>
      </c>
      <c r="D726" s="59">
        <v>17.510000000000002</v>
      </c>
      <c r="E726" s="59">
        <v>22.07</v>
      </c>
      <c r="F726" s="59">
        <v>0</v>
      </c>
      <c r="G726" s="59">
        <v>0</v>
      </c>
      <c r="H726" s="59" t="s">
        <v>955</v>
      </c>
      <c r="I726" s="59">
        <v>228</v>
      </c>
      <c r="J726" s="109">
        <f t="shared" si="21"/>
        <v>114</v>
      </c>
      <c r="K726" s="172">
        <v>456</v>
      </c>
      <c r="L726" s="148" t="s">
        <v>555</v>
      </c>
      <c r="M726" s="170"/>
    </row>
    <row r="727" spans="1:13">
      <c r="A727" s="2"/>
      <c r="B727" s="61" t="s">
        <v>830</v>
      </c>
      <c r="C727" s="59">
        <v>313</v>
      </c>
      <c r="D727" s="59">
        <v>16.37</v>
      </c>
      <c r="E727" s="59">
        <v>26.98</v>
      </c>
      <c r="F727" s="59">
        <v>0</v>
      </c>
      <c r="G727" s="59">
        <v>0</v>
      </c>
      <c r="H727" s="59" t="s">
        <v>955</v>
      </c>
      <c r="I727" s="59">
        <v>228</v>
      </c>
      <c r="J727" s="109">
        <f t="shared" si="21"/>
        <v>114</v>
      </c>
      <c r="K727" s="172">
        <v>456</v>
      </c>
      <c r="L727" s="148" t="s">
        <v>555</v>
      </c>
      <c r="M727" s="170"/>
    </row>
    <row r="728" spans="1:13">
      <c r="A728" s="2"/>
      <c r="B728" s="61" t="s">
        <v>831</v>
      </c>
      <c r="C728" s="59">
        <v>201</v>
      </c>
      <c r="D728" s="59">
        <v>19.309999999999999</v>
      </c>
      <c r="E728" s="59">
        <v>13.19</v>
      </c>
      <c r="F728" s="59">
        <v>0</v>
      </c>
      <c r="G728" s="59">
        <v>0</v>
      </c>
      <c r="H728" s="59" t="s">
        <v>955</v>
      </c>
      <c r="I728" s="59">
        <v>228</v>
      </c>
      <c r="J728" s="109">
        <f t="shared" si="21"/>
        <v>114</v>
      </c>
      <c r="K728" s="172">
        <v>456</v>
      </c>
      <c r="L728" s="148" t="s">
        <v>555</v>
      </c>
      <c r="M728" s="170"/>
    </row>
    <row r="729" spans="1:13">
      <c r="A729" s="2"/>
      <c r="B729" s="61" t="s">
        <v>833</v>
      </c>
      <c r="C729" s="59">
        <v>243</v>
      </c>
      <c r="D729" s="59">
        <v>19</v>
      </c>
      <c r="E729" s="59">
        <v>17.920000000000002</v>
      </c>
      <c r="F729" s="59">
        <v>0</v>
      </c>
      <c r="G729" s="59">
        <v>0</v>
      </c>
      <c r="H729" s="59" t="s">
        <v>955</v>
      </c>
      <c r="I729" s="59">
        <v>228</v>
      </c>
      <c r="J729" s="109">
        <f t="shared" si="21"/>
        <v>114</v>
      </c>
      <c r="K729" s="172">
        <v>456</v>
      </c>
      <c r="L729" s="148" t="s">
        <v>555</v>
      </c>
      <c r="M729" s="170"/>
    </row>
    <row r="730" spans="1:13">
      <c r="A730" s="2"/>
      <c r="B730" s="61" t="s">
        <v>832</v>
      </c>
      <c r="C730" s="59">
        <v>145</v>
      </c>
      <c r="D730" s="59">
        <v>21</v>
      </c>
      <c r="E730" s="59">
        <v>6.16</v>
      </c>
      <c r="F730" s="59">
        <v>0</v>
      </c>
      <c r="G730" s="59">
        <v>0</v>
      </c>
      <c r="H730" s="59" t="s">
        <v>955</v>
      </c>
      <c r="I730" s="59">
        <v>228</v>
      </c>
      <c r="J730" s="109">
        <f t="shared" si="21"/>
        <v>114</v>
      </c>
      <c r="K730" s="172">
        <v>456</v>
      </c>
      <c r="L730" s="148" t="s">
        <v>555</v>
      </c>
      <c r="M730" s="170"/>
    </row>
    <row r="731" spans="1:13">
      <c r="A731" s="2"/>
      <c r="B731" s="61" t="s">
        <v>834</v>
      </c>
      <c r="C731" s="59">
        <v>284</v>
      </c>
      <c r="D731" s="59">
        <v>17.899999999999999</v>
      </c>
      <c r="E731" s="59">
        <v>23.06</v>
      </c>
      <c r="F731" s="59">
        <v>0</v>
      </c>
      <c r="G731" s="59">
        <v>0</v>
      </c>
      <c r="H731" s="59" t="s">
        <v>955</v>
      </c>
      <c r="I731" s="59">
        <v>228</v>
      </c>
      <c r="J731" s="109">
        <f t="shared" si="21"/>
        <v>114</v>
      </c>
      <c r="K731" s="172">
        <v>456</v>
      </c>
      <c r="L731" s="148" t="s">
        <v>555</v>
      </c>
      <c r="M731" s="170"/>
    </row>
    <row r="732" spans="1:13">
      <c r="A732" s="2"/>
      <c r="B732" s="61" t="s">
        <v>835</v>
      </c>
      <c r="C732" s="59">
        <v>201</v>
      </c>
      <c r="D732" s="59">
        <v>20.3</v>
      </c>
      <c r="E732" s="59">
        <v>12.71</v>
      </c>
      <c r="F732" s="59">
        <v>0</v>
      </c>
      <c r="G732" s="59">
        <v>0</v>
      </c>
      <c r="H732" s="59" t="s">
        <v>955</v>
      </c>
      <c r="I732" s="59">
        <v>228</v>
      </c>
      <c r="J732" s="109">
        <f t="shared" si="21"/>
        <v>114</v>
      </c>
      <c r="K732" s="172">
        <v>456</v>
      </c>
      <c r="L732" s="148" t="s">
        <v>555</v>
      </c>
      <c r="M732" s="170"/>
    </row>
    <row r="733" spans="1:13">
      <c r="A733" s="2"/>
      <c r="B733" s="61" t="s">
        <v>1123</v>
      </c>
      <c r="C733" s="59">
        <v>114</v>
      </c>
      <c r="D733" s="59">
        <v>22.38</v>
      </c>
      <c r="E733" s="59">
        <v>2.0299999999999998</v>
      </c>
      <c r="F733" s="59">
        <v>0</v>
      </c>
      <c r="G733" s="59">
        <v>0</v>
      </c>
      <c r="H733" s="59" t="s">
        <v>955</v>
      </c>
      <c r="I733" s="59">
        <v>228</v>
      </c>
      <c r="J733" s="109">
        <f t="shared" si="21"/>
        <v>114</v>
      </c>
      <c r="K733" s="172">
        <v>456</v>
      </c>
      <c r="L733" s="148" t="s">
        <v>555</v>
      </c>
      <c r="M733" s="170"/>
    </row>
    <row r="734" spans="1:13">
      <c r="A734" s="2"/>
      <c r="B734" s="61" t="s">
        <v>1124</v>
      </c>
      <c r="C734" s="59">
        <v>161</v>
      </c>
      <c r="D734" s="59">
        <v>20.100000000000001</v>
      </c>
      <c r="E734" s="59">
        <v>8.3000000000000007</v>
      </c>
      <c r="F734" s="59">
        <v>0</v>
      </c>
      <c r="G734" s="59">
        <v>0</v>
      </c>
      <c r="H734" s="59" t="s">
        <v>955</v>
      </c>
      <c r="I734" s="59">
        <v>228</v>
      </c>
      <c r="J734" s="109">
        <f t="shared" si="21"/>
        <v>114</v>
      </c>
      <c r="K734" s="172">
        <v>456</v>
      </c>
      <c r="L734" s="148" t="s">
        <v>555</v>
      </c>
      <c r="M734" s="170"/>
    </row>
    <row r="735" spans="1:13">
      <c r="A735" s="2"/>
      <c r="B735" s="61" t="s">
        <v>1126</v>
      </c>
      <c r="C735" s="59">
        <v>212</v>
      </c>
      <c r="D735" s="59">
        <v>34.85</v>
      </c>
      <c r="E735" s="59">
        <v>6.96</v>
      </c>
      <c r="F735" s="59">
        <v>0</v>
      </c>
      <c r="G735" s="59">
        <v>0</v>
      </c>
      <c r="H735" s="59" t="s">
        <v>955</v>
      </c>
      <c r="I735" s="59">
        <v>228</v>
      </c>
      <c r="J735" s="109">
        <f t="shared" si="21"/>
        <v>114</v>
      </c>
      <c r="K735" s="172">
        <v>456</v>
      </c>
      <c r="L735" s="148" t="s">
        <v>555</v>
      </c>
      <c r="M735" s="170"/>
    </row>
    <row r="736" spans="1:13">
      <c r="A736" s="2"/>
      <c r="B736" s="61" t="s">
        <v>1125</v>
      </c>
      <c r="C736" s="59">
        <v>146</v>
      </c>
      <c r="D736" s="59">
        <v>24.05</v>
      </c>
      <c r="E736" s="59">
        <v>4.8</v>
      </c>
      <c r="F736" s="59">
        <v>0</v>
      </c>
      <c r="G736" s="59">
        <v>0</v>
      </c>
      <c r="H736" s="59" t="s">
        <v>955</v>
      </c>
      <c r="I736" s="59">
        <v>228</v>
      </c>
      <c r="J736" s="109">
        <f t="shared" si="21"/>
        <v>114</v>
      </c>
      <c r="K736" s="172">
        <v>456</v>
      </c>
      <c r="L736" s="148" t="s">
        <v>555</v>
      </c>
      <c r="M736" s="170"/>
    </row>
    <row r="737" spans="1:13">
      <c r="A737" s="2"/>
      <c r="B737" s="61" t="s">
        <v>836</v>
      </c>
      <c r="C737" s="59">
        <v>143</v>
      </c>
      <c r="D737" s="59">
        <v>23.3</v>
      </c>
      <c r="E737" s="59">
        <v>4.8</v>
      </c>
      <c r="F737" s="59">
        <v>0</v>
      </c>
      <c r="G737" s="59">
        <v>0</v>
      </c>
      <c r="H737" s="59" t="s">
        <v>955</v>
      </c>
      <c r="I737" s="59">
        <v>228</v>
      </c>
      <c r="J737" s="109">
        <f t="shared" si="21"/>
        <v>114</v>
      </c>
      <c r="K737" s="172">
        <v>456</v>
      </c>
      <c r="L737" s="148" t="s">
        <v>555</v>
      </c>
      <c r="M737" s="170"/>
    </row>
    <row r="738" spans="1:13">
      <c r="A738" s="2"/>
      <c r="B738" s="61" t="s">
        <v>1127</v>
      </c>
      <c r="C738" s="59">
        <v>109</v>
      </c>
      <c r="D738" s="59">
        <v>21.62</v>
      </c>
      <c r="E738" s="59">
        <v>1.84</v>
      </c>
      <c r="F738" s="59">
        <v>0</v>
      </c>
      <c r="G738" s="59">
        <v>0</v>
      </c>
      <c r="H738" s="59" t="s">
        <v>955</v>
      </c>
      <c r="I738" s="59">
        <v>228</v>
      </c>
      <c r="J738" s="109">
        <f t="shared" si="21"/>
        <v>114</v>
      </c>
      <c r="K738" s="172">
        <v>456</v>
      </c>
      <c r="L738" s="148" t="s">
        <v>555</v>
      </c>
      <c r="M738" s="170"/>
    </row>
    <row r="739" spans="1:13">
      <c r="A739" s="2"/>
      <c r="B739" s="61" t="s">
        <v>1128</v>
      </c>
      <c r="C739" s="59">
        <v>122</v>
      </c>
      <c r="D739" s="59">
        <v>21.51</v>
      </c>
      <c r="E739" s="59">
        <v>3.33</v>
      </c>
      <c r="F739" s="59">
        <v>0</v>
      </c>
      <c r="G739" s="59">
        <v>0</v>
      </c>
      <c r="H739" s="59" t="s">
        <v>955</v>
      </c>
      <c r="I739" s="59">
        <v>228</v>
      </c>
      <c r="J739" s="109">
        <f t="shared" si="21"/>
        <v>114</v>
      </c>
      <c r="K739" s="172">
        <v>456</v>
      </c>
      <c r="L739" s="148" t="s">
        <v>555</v>
      </c>
      <c r="M739" s="170"/>
    </row>
    <row r="740" spans="1:13">
      <c r="A740" s="2"/>
      <c r="B740" s="61" t="s">
        <v>1129</v>
      </c>
      <c r="C740" s="59">
        <v>99</v>
      </c>
      <c r="D740" s="59">
        <v>20.39</v>
      </c>
      <c r="E740" s="59">
        <v>1.37</v>
      </c>
      <c r="F740" s="59">
        <v>0</v>
      </c>
      <c r="G740" s="59">
        <v>0</v>
      </c>
      <c r="H740" s="59" t="s">
        <v>955</v>
      </c>
      <c r="I740" s="59">
        <v>228</v>
      </c>
      <c r="J740" s="109">
        <f t="shared" si="21"/>
        <v>114</v>
      </c>
      <c r="K740" s="172">
        <v>456</v>
      </c>
      <c r="L740" s="148" t="s">
        <v>555</v>
      </c>
      <c r="M740" s="170"/>
    </row>
    <row r="741" spans="1:13">
      <c r="A741" s="2"/>
      <c r="B741" s="61" t="s">
        <v>1130</v>
      </c>
      <c r="C741" s="59">
        <v>127</v>
      </c>
      <c r="D741" s="59">
        <v>22.63</v>
      </c>
      <c r="E741" s="59">
        <v>3.36</v>
      </c>
      <c r="F741" s="59">
        <v>0</v>
      </c>
      <c r="G741" s="59">
        <v>0</v>
      </c>
      <c r="H741" s="59" t="s">
        <v>955</v>
      </c>
      <c r="I741" s="59">
        <v>228</v>
      </c>
      <c r="J741" s="109">
        <f t="shared" si="21"/>
        <v>114</v>
      </c>
      <c r="K741" s="172">
        <v>456</v>
      </c>
      <c r="L741" s="148" t="s">
        <v>555</v>
      </c>
      <c r="M741" s="170"/>
    </row>
    <row r="742" spans="1:13">
      <c r="A742" s="2"/>
      <c r="B742" s="61" t="s">
        <v>1131</v>
      </c>
      <c r="C742" s="59">
        <v>120</v>
      </c>
      <c r="D742" s="59">
        <v>22.96</v>
      </c>
      <c r="E742" s="59">
        <v>2.42</v>
      </c>
      <c r="F742" s="59">
        <v>0</v>
      </c>
      <c r="G742" s="59">
        <v>0</v>
      </c>
      <c r="H742" s="59" t="s">
        <v>955</v>
      </c>
      <c r="I742" s="59">
        <v>228</v>
      </c>
      <c r="J742" s="109">
        <f t="shared" si="21"/>
        <v>114</v>
      </c>
      <c r="K742" s="172">
        <v>456</v>
      </c>
      <c r="L742" s="148" t="s">
        <v>555</v>
      </c>
      <c r="M742" s="170"/>
    </row>
    <row r="743" spans="1:13">
      <c r="A743" s="2"/>
      <c r="B743" s="61" t="s">
        <v>1132</v>
      </c>
      <c r="C743" s="59">
        <v>111</v>
      </c>
      <c r="D743" s="59">
        <v>22.95</v>
      </c>
      <c r="E743" s="59">
        <v>1.45</v>
      </c>
      <c r="F743" s="59">
        <v>0</v>
      </c>
      <c r="G743" s="59">
        <v>0</v>
      </c>
      <c r="H743" s="59" t="s">
        <v>955</v>
      </c>
      <c r="I743" s="59">
        <v>228</v>
      </c>
      <c r="J743" s="109">
        <f t="shared" si="21"/>
        <v>114</v>
      </c>
      <c r="K743" s="172">
        <v>456</v>
      </c>
      <c r="L743" s="148" t="s">
        <v>555</v>
      </c>
      <c r="M743" s="170"/>
    </row>
    <row r="744" spans="1:13">
      <c r="A744" s="2"/>
      <c r="B744" s="61" t="s">
        <v>1134</v>
      </c>
      <c r="C744" s="59">
        <v>133</v>
      </c>
      <c r="D744" s="59">
        <v>21.39</v>
      </c>
      <c r="E744" s="59">
        <v>4.5999999999999996</v>
      </c>
      <c r="F744" s="59">
        <v>0</v>
      </c>
      <c r="G744" s="59">
        <v>0</v>
      </c>
      <c r="H744" s="59" t="s">
        <v>955</v>
      </c>
      <c r="I744" s="59">
        <v>228</v>
      </c>
      <c r="J744" s="109">
        <f t="shared" ref="J744:J764" si="22">I744*VLOOKUP(H744,Fractional,2,FALSE)</f>
        <v>114</v>
      </c>
      <c r="K744" s="172">
        <v>456</v>
      </c>
      <c r="L744" s="148" t="s">
        <v>555</v>
      </c>
      <c r="M744" s="170"/>
    </row>
    <row r="745" spans="1:13">
      <c r="A745" s="2"/>
      <c r="B745" s="61" t="s">
        <v>1135</v>
      </c>
      <c r="C745" s="59">
        <v>102</v>
      </c>
      <c r="D745" s="59">
        <v>22.24</v>
      </c>
      <c r="E745" s="59">
        <v>0.74</v>
      </c>
      <c r="F745" s="59">
        <v>0</v>
      </c>
      <c r="G745" s="59">
        <v>0</v>
      </c>
      <c r="H745" s="59" t="s">
        <v>955</v>
      </c>
      <c r="I745" s="59">
        <v>228</v>
      </c>
      <c r="J745" s="109">
        <f t="shared" si="22"/>
        <v>114</v>
      </c>
      <c r="K745" s="172">
        <v>456</v>
      </c>
      <c r="L745" s="148" t="s">
        <v>555</v>
      </c>
      <c r="M745" s="170"/>
    </row>
    <row r="746" spans="1:13">
      <c r="A746" s="2"/>
      <c r="B746" s="61" t="s">
        <v>1136</v>
      </c>
      <c r="C746" s="59">
        <v>162</v>
      </c>
      <c r="D746" s="59">
        <v>20.76</v>
      </c>
      <c r="E746" s="59">
        <v>8.1</v>
      </c>
      <c r="F746" s="59">
        <v>0</v>
      </c>
      <c r="G746" s="59">
        <v>0</v>
      </c>
      <c r="H746" s="59" t="s">
        <v>955</v>
      </c>
      <c r="I746" s="59">
        <v>228</v>
      </c>
      <c r="J746" s="109">
        <f t="shared" si="22"/>
        <v>114</v>
      </c>
      <c r="K746" s="172">
        <v>456</v>
      </c>
      <c r="L746" s="148" t="s">
        <v>555</v>
      </c>
      <c r="M746" s="170"/>
    </row>
    <row r="747" spans="1:13">
      <c r="A747" s="2"/>
      <c r="B747" s="61" t="s">
        <v>1137</v>
      </c>
      <c r="C747" s="59">
        <v>221</v>
      </c>
      <c r="D747" s="59">
        <v>30.2</v>
      </c>
      <c r="E747" s="59">
        <v>10.199999999999999</v>
      </c>
      <c r="F747" s="59">
        <v>0</v>
      </c>
      <c r="G747" s="59">
        <v>0</v>
      </c>
      <c r="H747" s="59" t="s">
        <v>955</v>
      </c>
      <c r="I747" s="59">
        <v>228</v>
      </c>
      <c r="J747" s="109">
        <f t="shared" si="22"/>
        <v>114</v>
      </c>
      <c r="K747" s="172">
        <v>456</v>
      </c>
      <c r="L747" s="148" t="s">
        <v>555</v>
      </c>
      <c r="M747" s="170"/>
    </row>
    <row r="748" spans="1:13">
      <c r="A748" s="2"/>
      <c r="B748" s="61" t="s">
        <v>837</v>
      </c>
      <c r="C748" s="59">
        <v>136</v>
      </c>
      <c r="D748" s="59">
        <v>20.05</v>
      </c>
      <c r="E748" s="59">
        <v>5.55</v>
      </c>
      <c r="F748" s="59">
        <v>0</v>
      </c>
      <c r="G748" s="59">
        <v>0</v>
      </c>
      <c r="H748" s="59" t="s">
        <v>955</v>
      </c>
      <c r="I748" s="59">
        <v>228</v>
      </c>
      <c r="J748" s="109">
        <f t="shared" si="22"/>
        <v>114</v>
      </c>
      <c r="K748" s="172">
        <v>456</v>
      </c>
      <c r="L748" s="148" t="s">
        <v>555</v>
      </c>
      <c r="M748" s="170"/>
    </row>
    <row r="749" spans="1:13">
      <c r="A749" s="2"/>
      <c r="B749" s="61" t="s">
        <v>1139</v>
      </c>
      <c r="C749" s="59">
        <v>173</v>
      </c>
      <c r="D749" s="59">
        <v>33.020000000000003</v>
      </c>
      <c r="E749" s="59">
        <v>3.51</v>
      </c>
      <c r="F749" s="59">
        <v>0</v>
      </c>
      <c r="G749" s="59">
        <v>0</v>
      </c>
      <c r="H749" s="59" t="s">
        <v>955</v>
      </c>
      <c r="I749" s="59">
        <v>228</v>
      </c>
      <c r="J749" s="109">
        <f t="shared" si="22"/>
        <v>114</v>
      </c>
      <c r="K749" s="172">
        <v>456</v>
      </c>
      <c r="L749" s="148" t="s">
        <v>555</v>
      </c>
      <c r="M749" s="170"/>
    </row>
    <row r="750" spans="1:13">
      <c r="A750" s="2"/>
      <c r="B750" s="61" t="s">
        <v>1138</v>
      </c>
      <c r="C750" s="59">
        <v>114</v>
      </c>
      <c r="D750" s="59">
        <v>21.79</v>
      </c>
      <c r="E750" s="59">
        <v>2.3199999999999998</v>
      </c>
      <c r="F750" s="59">
        <v>0</v>
      </c>
      <c r="G750" s="59">
        <v>0</v>
      </c>
      <c r="H750" s="59" t="s">
        <v>955</v>
      </c>
      <c r="I750" s="59">
        <v>228</v>
      </c>
      <c r="J750" s="109">
        <f t="shared" si="22"/>
        <v>114</v>
      </c>
      <c r="K750" s="172">
        <v>456</v>
      </c>
      <c r="L750" s="148" t="s">
        <v>555</v>
      </c>
      <c r="M750" s="170"/>
    </row>
    <row r="751" spans="1:13">
      <c r="A751" s="2"/>
      <c r="B751" s="61" t="s">
        <v>1133</v>
      </c>
      <c r="C751" s="59">
        <v>109</v>
      </c>
      <c r="D751" s="59">
        <v>20.6</v>
      </c>
      <c r="E751" s="59">
        <v>2.31</v>
      </c>
      <c r="F751" s="59">
        <v>0</v>
      </c>
      <c r="G751" s="59">
        <v>0</v>
      </c>
      <c r="H751" s="59" t="s">
        <v>955</v>
      </c>
      <c r="I751" s="59">
        <v>228</v>
      </c>
      <c r="J751" s="109">
        <f t="shared" si="22"/>
        <v>114</v>
      </c>
      <c r="K751" s="172">
        <v>456</v>
      </c>
      <c r="L751" s="148" t="s">
        <v>555</v>
      </c>
      <c r="M751" s="170"/>
    </row>
    <row r="752" spans="1:13">
      <c r="A752" s="2"/>
      <c r="B752" s="61" t="s">
        <v>838</v>
      </c>
      <c r="C752" s="59">
        <v>272</v>
      </c>
      <c r="D752" s="59">
        <v>16.940000000000001</v>
      </c>
      <c r="E752" s="59">
        <v>22.11</v>
      </c>
      <c r="F752" s="59">
        <v>0</v>
      </c>
      <c r="G752" s="59">
        <v>0</v>
      </c>
      <c r="H752" s="59" t="s">
        <v>955</v>
      </c>
      <c r="I752" s="59">
        <v>228</v>
      </c>
      <c r="J752" s="109">
        <f t="shared" si="22"/>
        <v>114</v>
      </c>
      <c r="K752" s="172">
        <v>456</v>
      </c>
      <c r="L752" s="148" t="s">
        <v>555</v>
      </c>
      <c r="M752" s="170"/>
    </row>
    <row r="753" spans="1:13">
      <c r="A753" s="2"/>
      <c r="B753" s="61" t="s">
        <v>1378</v>
      </c>
      <c r="C753" s="59">
        <v>201</v>
      </c>
      <c r="D753" s="59">
        <v>18.91</v>
      </c>
      <c r="E753" s="59">
        <v>13.38</v>
      </c>
      <c r="F753" s="59">
        <v>0</v>
      </c>
      <c r="G753" s="59">
        <v>0</v>
      </c>
      <c r="H753" s="59" t="s">
        <v>955</v>
      </c>
      <c r="I753" s="59">
        <v>228</v>
      </c>
      <c r="J753" s="109">
        <f t="shared" si="22"/>
        <v>114</v>
      </c>
      <c r="K753" s="172">
        <v>456</v>
      </c>
      <c r="L753" s="148" t="s">
        <v>555</v>
      </c>
      <c r="M753" s="170"/>
    </row>
    <row r="754" spans="1:13">
      <c r="A754" s="2"/>
      <c r="B754" s="61" t="s">
        <v>839</v>
      </c>
      <c r="C754" s="59">
        <v>201</v>
      </c>
      <c r="D754" s="59">
        <v>18.579999999999998</v>
      </c>
      <c r="E754" s="59">
        <v>13.49</v>
      </c>
      <c r="F754" s="59">
        <v>0</v>
      </c>
      <c r="G754" s="59">
        <v>0</v>
      </c>
      <c r="H754" s="59" t="s">
        <v>955</v>
      </c>
      <c r="I754" s="59">
        <v>228</v>
      </c>
      <c r="J754" s="109">
        <f t="shared" si="22"/>
        <v>114</v>
      </c>
      <c r="K754" s="172">
        <v>456</v>
      </c>
      <c r="L754" s="148" t="s">
        <v>555</v>
      </c>
      <c r="M754" s="170"/>
    </row>
    <row r="755" spans="1:13">
      <c r="A755" s="2"/>
      <c r="B755" s="61" t="s">
        <v>840</v>
      </c>
      <c r="C755" s="59">
        <v>230</v>
      </c>
      <c r="D755" s="59">
        <v>17.91</v>
      </c>
      <c r="E755" s="59">
        <v>17.07</v>
      </c>
      <c r="F755" s="59">
        <v>0</v>
      </c>
      <c r="G755" s="59">
        <v>0</v>
      </c>
      <c r="H755" s="59" t="s">
        <v>955</v>
      </c>
      <c r="I755" s="59">
        <v>228</v>
      </c>
      <c r="J755" s="109">
        <f t="shared" si="22"/>
        <v>114</v>
      </c>
      <c r="K755" s="172">
        <v>456</v>
      </c>
      <c r="L755" s="148" t="s">
        <v>555</v>
      </c>
      <c r="M755" s="170"/>
    </row>
    <row r="756" spans="1:13">
      <c r="A756" s="2"/>
      <c r="B756" s="61" t="s">
        <v>1382</v>
      </c>
      <c r="C756" s="59">
        <v>310</v>
      </c>
      <c r="D756" s="59">
        <v>16.32</v>
      </c>
      <c r="E756" s="59">
        <v>26.63</v>
      </c>
      <c r="F756" s="59">
        <v>0</v>
      </c>
      <c r="G756" s="59">
        <v>0</v>
      </c>
      <c r="H756" s="59" t="s">
        <v>955</v>
      </c>
      <c r="I756" s="59">
        <v>228</v>
      </c>
      <c r="J756" s="109">
        <f t="shared" si="22"/>
        <v>114</v>
      </c>
      <c r="K756" s="172">
        <v>456</v>
      </c>
      <c r="L756" s="148" t="s">
        <v>555</v>
      </c>
      <c r="M756" s="170"/>
    </row>
    <row r="757" spans="1:13">
      <c r="A757" s="2"/>
      <c r="B757" s="61" t="s">
        <v>1383</v>
      </c>
      <c r="C757" s="59">
        <v>372</v>
      </c>
      <c r="D757" s="59">
        <v>14.52</v>
      </c>
      <c r="E757" s="59">
        <v>34.39</v>
      </c>
      <c r="F757" s="59">
        <v>0</v>
      </c>
      <c r="G757" s="59">
        <v>0</v>
      </c>
      <c r="H757" s="59" t="s">
        <v>955</v>
      </c>
      <c r="I757" s="59">
        <v>228</v>
      </c>
      <c r="J757" s="109">
        <f t="shared" si="22"/>
        <v>114</v>
      </c>
      <c r="K757" s="172">
        <v>456</v>
      </c>
      <c r="L757" s="148" t="s">
        <v>555</v>
      </c>
      <c r="M757" s="170"/>
    </row>
    <row r="758" spans="1:13">
      <c r="A758" s="2"/>
      <c r="B758" s="61" t="s">
        <v>841</v>
      </c>
      <c r="C758" s="59">
        <v>264</v>
      </c>
      <c r="D758" s="59">
        <v>16.579999999999998</v>
      </c>
      <c r="E758" s="59">
        <v>21.45</v>
      </c>
      <c r="F758" s="59">
        <v>0</v>
      </c>
      <c r="G758" s="59">
        <v>0</v>
      </c>
      <c r="H758" s="59" t="s">
        <v>955</v>
      </c>
      <c r="I758" s="59">
        <v>228</v>
      </c>
      <c r="J758" s="109">
        <f t="shared" si="22"/>
        <v>114</v>
      </c>
      <c r="K758" s="172">
        <v>456</v>
      </c>
      <c r="L758" s="148" t="s">
        <v>555</v>
      </c>
      <c r="M758" s="170"/>
    </row>
    <row r="759" spans="1:13">
      <c r="A759" s="2"/>
      <c r="B759" s="61" t="s">
        <v>842</v>
      </c>
      <c r="C759" s="59">
        <v>144</v>
      </c>
      <c r="D759" s="59">
        <v>19.350000000000001</v>
      </c>
      <c r="E759" s="59">
        <v>6.77</v>
      </c>
      <c r="F759" s="59">
        <v>0</v>
      </c>
      <c r="G759" s="59">
        <v>0</v>
      </c>
      <c r="H759" s="59" t="s">
        <v>955</v>
      </c>
      <c r="I759" s="59">
        <v>228</v>
      </c>
      <c r="J759" s="109">
        <f t="shared" si="22"/>
        <v>114</v>
      </c>
      <c r="K759" s="172">
        <v>456</v>
      </c>
      <c r="L759" s="148" t="s">
        <v>555</v>
      </c>
      <c r="M759" s="170"/>
    </row>
    <row r="760" spans="1:13">
      <c r="A760" s="2"/>
      <c r="B760" s="61" t="s">
        <v>843</v>
      </c>
      <c r="C760" s="59">
        <v>109</v>
      </c>
      <c r="D760" s="59">
        <v>20.27</v>
      </c>
      <c r="E760" s="59">
        <v>2.5</v>
      </c>
      <c r="F760" s="59">
        <v>0</v>
      </c>
      <c r="G760" s="59">
        <v>0</v>
      </c>
      <c r="H760" s="59" t="s">
        <v>955</v>
      </c>
      <c r="I760" s="59">
        <v>228</v>
      </c>
      <c r="J760" s="109">
        <f t="shared" si="22"/>
        <v>114</v>
      </c>
      <c r="K760" s="172">
        <v>456</v>
      </c>
      <c r="L760" s="148" t="s">
        <v>555</v>
      </c>
      <c r="M760" s="170"/>
    </row>
    <row r="761" spans="1:13">
      <c r="A761" s="2"/>
      <c r="B761" s="61" t="s">
        <v>1140</v>
      </c>
      <c r="C761" s="59">
        <v>163</v>
      </c>
      <c r="D761" s="59">
        <v>18.89</v>
      </c>
      <c r="E761" s="59">
        <v>9.14</v>
      </c>
      <c r="F761" s="59">
        <v>0</v>
      </c>
      <c r="G761" s="59">
        <v>0</v>
      </c>
      <c r="H761" s="59" t="s">
        <v>955</v>
      </c>
      <c r="I761" s="59">
        <v>228</v>
      </c>
      <c r="J761" s="109">
        <f t="shared" si="22"/>
        <v>114</v>
      </c>
      <c r="K761" s="172">
        <v>456</v>
      </c>
      <c r="L761" s="148" t="s">
        <v>555</v>
      </c>
      <c r="M761" s="170"/>
    </row>
    <row r="762" spans="1:13">
      <c r="A762" s="2"/>
      <c r="B762" s="61" t="s">
        <v>1141</v>
      </c>
      <c r="C762" s="59">
        <v>162</v>
      </c>
      <c r="D762" s="59">
        <v>18.86</v>
      </c>
      <c r="E762" s="59">
        <v>9.01</v>
      </c>
      <c r="F762" s="59">
        <v>0</v>
      </c>
      <c r="G762" s="59">
        <v>0</v>
      </c>
      <c r="H762" s="59" t="s">
        <v>955</v>
      </c>
      <c r="I762" s="59">
        <v>228</v>
      </c>
      <c r="J762" s="109">
        <f t="shared" si="22"/>
        <v>114</v>
      </c>
      <c r="K762" s="172">
        <v>456</v>
      </c>
      <c r="L762" s="148" t="s">
        <v>555</v>
      </c>
      <c r="M762" s="170"/>
    </row>
    <row r="763" spans="1:13">
      <c r="A763" s="2"/>
      <c r="B763" s="61" t="s">
        <v>844</v>
      </c>
      <c r="C763" s="59">
        <v>130</v>
      </c>
      <c r="D763" s="59">
        <v>19.27</v>
      </c>
      <c r="E763" s="59">
        <v>5.28</v>
      </c>
      <c r="F763" s="59">
        <v>0</v>
      </c>
      <c r="G763" s="59">
        <v>0</v>
      </c>
      <c r="H763" s="59" t="s">
        <v>955</v>
      </c>
      <c r="I763" s="59">
        <v>228</v>
      </c>
      <c r="J763" s="109">
        <f t="shared" si="22"/>
        <v>114</v>
      </c>
      <c r="K763" s="172">
        <v>456</v>
      </c>
      <c r="L763" s="148" t="s">
        <v>555</v>
      </c>
      <c r="M763" s="170"/>
    </row>
    <row r="764" spans="1:13" ht="13.5" thickBot="1">
      <c r="A764" s="2"/>
      <c r="B764" s="63" t="s">
        <v>1122</v>
      </c>
      <c r="C764" s="64">
        <v>152</v>
      </c>
      <c r="D764" s="64">
        <v>19.07</v>
      </c>
      <c r="E764" s="64">
        <v>7.81</v>
      </c>
      <c r="F764" s="64">
        <v>0</v>
      </c>
      <c r="G764" s="64">
        <v>0</v>
      </c>
      <c r="H764" s="64" t="s">
        <v>955</v>
      </c>
      <c r="I764" s="64">
        <v>228</v>
      </c>
      <c r="J764" s="111">
        <f t="shared" si="22"/>
        <v>114</v>
      </c>
      <c r="K764" s="173">
        <v>456</v>
      </c>
      <c r="L764" s="174" t="s">
        <v>555</v>
      </c>
      <c r="M764" s="170"/>
    </row>
    <row r="765" spans="1:13" ht="14.25" thickTop="1" thickBot="1">
      <c r="M765" s="170"/>
    </row>
    <row r="766" spans="1:13" ht="18.75" thickTop="1">
      <c r="B766" s="66" t="s">
        <v>38</v>
      </c>
      <c r="C766" s="67" t="s">
        <v>1474</v>
      </c>
      <c r="D766" s="68" t="s">
        <v>99</v>
      </c>
      <c r="E766" s="67" t="s">
        <v>1475</v>
      </c>
      <c r="F766" s="67" t="s">
        <v>1476</v>
      </c>
      <c r="G766" s="67" t="s">
        <v>1477</v>
      </c>
      <c r="H766" s="68" t="s">
        <v>918</v>
      </c>
      <c r="I766" s="68" t="s">
        <v>919</v>
      </c>
      <c r="J766" s="67" t="s">
        <v>467</v>
      </c>
      <c r="K766" s="67" t="s">
        <v>203</v>
      </c>
      <c r="L766" s="69"/>
      <c r="M766" s="170"/>
    </row>
    <row r="767" spans="1:13">
      <c r="A767" s="2"/>
      <c r="B767" s="61" t="s">
        <v>254</v>
      </c>
      <c r="C767" s="59">
        <v>114</v>
      </c>
      <c r="D767" s="59">
        <v>18.86</v>
      </c>
      <c r="E767" s="59">
        <v>3.69</v>
      </c>
      <c r="F767" s="59">
        <v>0</v>
      </c>
      <c r="G767" s="59">
        <v>0</v>
      </c>
      <c r="H767" s="101" t="s">
        <v>1066</v>
      </c>
      <c r="I767" s="101">
        <v>79</v>
      </c>
      <c r="J767" s="109">
        <f t="shared" ref="J767:J798" si="23">I767*VLOOKUP(H767,Fractional,2,FALSE)</f>
        <v>39.5</v>
      </c>
      <c r="K767" s="171">
        <v>79</v>
      </c>
      <c r="L767" s="143" t="s">
        <v>597</v>
      </c>
      <c r="M767" s="170"/>
    </row>
    <row r="768" spans="1:13">
      <c r="A768" s="2"/>
      <c r="B768" s="61" t="s">
        <v>255</v>
      </c>
      <c r="C768" s="59">
        <v>95</v>
      </c>
      <c r="D768" s="59">
        <v>16.38</v>
      </c>
      <c r="E768" s="59">
        <v>2.82</v>
      </c>
      <c r="F768" s="59">
        <v>0</v>
      </c>
      <c r="G768" s="59">
        <v>0</v>
      </c>
      <c r="H768" s="59" t="s">
        <v>1066</v>
      </c>
      <c r="I768" s="59">
        <v>159</v>
      </c>
      <c r="J768" s="109">
        <f t="shared" si="23"/>
        <v>79.5</v>
      </c>
      <c r="K768" s="172">
        <v>159</v>
      </c>
      <c r="L768" s="142" t="s">
        <v>597</v>
      </c>
      <c r="M768" s="170"/>
    </row>
    <row r="769" spans="1:13">
      <c r="A769" s="2"/>
      <c r="B769" s="61" t="s">
        <v>256</v>
      </c>
      <c r="C769" s="59">
        <v>82</v>
      </c>
      <c r="D769" s="59">
        <v>17.809999999999999</v>
      </c>
      <c r="E769" s="59">
        <v>0.67</v>
      </c>
      <c r="F769" s="59">
        <v>0</v>
      </c>
      <c r="G769" s="59">
        <v>0</v>
      </c>
      <c r="H769" s="59" t="s">
        <v>1066</v>
      </c>
      <c r="I769" s="59">
        <v>231</v>
      </c>
      <c r="J769" s="109">
        <f t="shared" si="23"/>
        <v>115.5</v>
      </c>
      <c r="K769" s="172">
        <v>231</v>
      </c>
      <c r="L769" s="142" t="s">
        <v>597</v>
      </c>
      <c r="M769" s="170"/>
    </row>
    <row r="770" spans="1:13">
      <c r="A770" s="2"/>
      <c r="B770" s="61" t="s">
        <v>257</v>
      </c>
      <c r="C770" s="59">
        <v>84</v>
      </c>
      <c r="D770" s="59">
        <v>18.29</v>
      </c>
      <c r="E770" s="59">
        <v>0.6</v>
      </c>
      <c r="F770" s="59">
        <v>0</v>
      </c>
      <c r="G770" s="59">
        <v>0</v>
      </c>
      <c r="H770" s="59" t="s">
        <v>1009</v>
      </c>
      <c r="I770" s="59">
        <v>172</v>
      </c>
      <c r="J770" s="109">
        <f t="shared" si="23"/>
        <v>86</v>
      </c>
      <c r="K770" s="172">
        <v>172</v>
      </c>
      <c r="L770" s="142" t="s">
        <v>551</v>
      </c>
      <c r="M770" s="170"/>
    </row>
    <row r="771" spans="1:13">
      <c r="A771" s="2"/>
      <c r="B771" s="61" t="s">
        <v>258</v>
      </c>
      <c r="C771" s="59">
        <v>96</v>
      </c>
      <c r="D771" s="59">
        <v>20.079999999999998</v>
      </c>
      <c r="E771" s="59">
        <v>1.7</v>
      </c>
      <c r="F771" s="59">
        <v>0</v>
      </c>
      <c r="G771" s="59">
        <v>0</v>
      </c>
      <c r="H771" s="59" t="s">
        <v>82</v>
      </c>
      <c r="I771" s="59">
        <v>85</v>
      </c>
      <c r="J771" s="110">
        <f t="shared" si="23"/>
        <v>28.05</v>
      </c>
      <c r="K771" s="172">
        <v>28.333333333333332</v>
      </c>
      <c r="L771" s="148" t="s">
        <v>537</v>
      </c>
      <c r="M771" s="170"/>
    </row>
    <row r="772" spans="1:13">
      <c r="A772" s="2"/>
      <c r="B772" s="61" t="s">
        <v>259</v>
      </c>
      <c r="C772" s="59">
        <v>87</v>
      </c>
      <c r="D772" s="59">
        <v>18.91</v>
      </c>
      <c r="E772" s="59">
        <v>0.72</v>
      </c>
      <c r="F772" s="59">
        <v>0</v>
      </c>
      <c r="G772" s="59">
        <v>0</v>
      </c>
      <c r="H772" s="59" t="s">
        <v>1066</v>
      </c>
      <c r="I772" s="59">
        <v>193</v>
      </c>
      <c r="J772" s="109">
        <f t="shared" si="23"/>
        <v>96.5</v>
      </c>
      <c r="K772" s="172">
        <v>193</v>
      </c>
      <c r="L772" s="142" t="s">
        <v>597</v>
      </c>
      <c r="M772" s="170"/>
    </row>
    <row r="773" spans="1:13">
      <c r="A773" s="2"/>
      <c r="B773" s="61" t="s">
        <v>260</v>
      </c>
      <c r="C773" s="59">
        <v>88</v>
      </c>
      <c r="D773" s="59">
        <v>19.260000000000002</v>
      </c>
      <c r="E773" s="59">
        <v>0.69</v>
      </c>
      <c r="F773" s="59">
        <v>0</v>
      </c>
      <c r="G773" s="59">
        <v>0</v>
      </c>
      <c r="H773" s="59" t="s">
        <v>956</v>
      </c>
      <c r="I773" s="59">
        <v>198</v>
      </c>
      <c r="J773" s="109">
        <f t="shared" si="23"/>
        <v>198</v>
      </c>
      <c r="K773" s="172">
        <v>396</v>
      </c>
      <c r="L773" s="142" t="s">
        <v>597</v>
      </c>
      <c r="M773" s="170"/>
    </row>
    <row r="774" spans="1:13">
      <c r="A774" s="2"/>
      <c r="B774" s="61" t="s">
        <v>261</v>
      </c>
      <c r="C774" s="59">
        <v>116</v>
      </c>
      <c r="D774" s="59">
        <v>19.940000000000001</v>
      </c>
      <c r="E774" s="59">
        <v>3.45</v>
      </c>
      <c r="F774" s="59">
        <v>0</v>
      </c>
      <c r="G774" s="59">
        <v>0</v>
      </c>
      <c r="H774" s="59" t="s">
        <v>956</v>
      </c>
      <c r="I774" s="59">
        <v>159</v>
      </c>
      <c r="J774" s="109">
        <f t="shared" si="23"/>
        <v>159</v>
      </c>
      <c r="K774" s="172">
        <v>318</v>
      </c>
      <c r="L774" s="142" t="s">
        <v>597</v>
      </c>
      <c r="M774" s="170"/>
    </row>
    <row r="775" spans="1:13">
      <c r="A775" s="2"/>
      <c r="B775" s="61" t="s">
        <v>262</v>
      </c>
      <c r="C775" s="59">
        <v>116</v>
      </c>
      <c r="D775" s="59">
        <v>25.51</v>
      </c>
      <c r="E775" s="59">
        <v>0.82</v>
      </c>
      <c r="F775" s="59">
        <v>0</v>
      </c>
      <c r="G775" s="59">
        <v>0</v>
      </c>
      <c r="H775" s="59" t="s">
        <v>1001</v>
      </c>
      <c r="I775" s="59">
        <v>154</v>
      </c>
      <c r="J775" s="109">
        <f t="shared" si="23"/>
        <v>19.25</v>
      </c>
      <c r="K775" s="172">
        <v>154</v>
      </c>
      <c r="L775" s="148" t="s">
        <v>512</v>
      </c>
      <c r="M775" s="170"/>
    </row>
    <row r="776" spans="1:13">
      <c r="A776" s="2"/>
      <c r="B776" s="61" t="s">
        <v>1082</v>
      </c>
      <c r="C776" s="59">
        <v>105</v>
      </c>
      <c r="D776" s="59">
        <v>17.100000000000001</v>
      </c>
      <c r="E776" s="59">
        <v>0.76</v>
      </c>
      <c r="F776" s="59">
        <v>6.01</v>
      </c>
      <c r="G776" s="59">
        <v>0</v>
      </c>
      <c r="H776" s="59" t="s">
        <v>82</v>
      </c>
      <c r="I776" s="59">
        <v>85</v>
      </c>
      <c r="J776" s="110">
        <f t="shared" si="23"/>
        <v>28.05</v>
      </c>
      <c r="K776" s="172">
        <v>28.333333333333332</v>
      </c>
      <c r="L776" s="148" t="s">
        <v>537</v>
      </c>
      <c r="M776" s="170"/>
    </row>
    <row r="777" spans="1:13">
      <c r="A777" s="2"/>
      <c r="B777" s="61" t="s">
        <v>1065</v>
      </c>
      <c r="C777" s="59">
        <v>131</v>
      </c>
      <c r="D777" s="59">
        <v>20.350000000000001</v>
      </c>
      <c r="E777" s="59">
        <v>4.84</v>
      </c>
      <c r="F777" s="59">
        <v>0</v>
      </c>
      <c r="G777" s="59">
        <v>0</v>
      </c>
      <c r="H777" s="59" t="s">
        <v>82</v>
      </c>
      <c r="I777" s="59">
        <v>85</v>
      </c>
      <c r="J777" s="110">
        <f t="shared" si="23"/>
        <v>28.05</v>
      </c>
      <c r="K777" s="172">
        <v>28.333333333333332</v>
      </c>
      <c r="L777" s="148" t="s">
        <v>537</v>
      </c>
      <c r="M777" s="170"/>
    </row>
    <row r="778" spans="1:13">
      <c r="A778" s="2"/>
      <c r="B778" s="61" t="s">
        <v>1184</v>
      </c>
      <c r="C778" s="59">
        <v>124</v>
      </c>
      <c r="D778" s="59">
        <v>20.04</v>
      </c>
      <c r="E778" s="59">
        <v>4.24</v>
      </c>
      <c r="F778" s="59">
        <v>0</v>
      </c>
      <c r="G778" s="59">
        <v>0</v>
      </c>
      <c r="H778" s="59" t="s">
        <v>1066</v>
      </c>
      <c r="I778" s="59">
        <v>150</v>
      </c>
      <c r="J778" s="109">
        <f t="shared" si="23"/>
        <v>75</v>
      </c>
      <c r="K778" s="172">
        <v>150</v>
      </c>
      <c r="L778" s="142" t="s">
        <v>597</v>
      </c>
      <c r="M778" s="170"/>
    </row>
    <row r="779" spans="1:13">
      <c r="A779" s="2"/>
      <c r="B779" s="61" t="s">
        <v>1185</v>
      </c>
      <c r="C779" s="59">
        <v>90</v>
      </c>
      <c r="D779" s="59">
        <v>19.309999999999999</v>
      </c>
      <c r="E779" s="59">
        <v>0.81</v>
      </c>
      <c r="F779" s="59">
        <v>0</v>
      </c>
      <c r="G779" s="59">
        <v>0</v>
      </c>
      <c r="H779" s="59" t="s">
        <v>1066</v>
      </c>
      <c r="I779" s="59">
        <v>116</v>
      </c>
      <c r="J779" s="109">
        <f t="shared" si="23"/>
        <v>58</v>
      </c>
      <c r="K779" s="172">
        <v>116</v>
      </c>
      <c r="L779" s="142" t="s">
        <v>597</v>
      </c>
      <c r="M779" s="170"/>
    </row>
    <row r="780" spans="1:13">
      <c r="A780" s="2"/>
      <c r="B780" s="61" t="s">
        <v>1186</v>
      </c>
      <c r="C780" s="59">
        <v>146</v>
      </c>
      <c r="D780" s="59">
        <v>17.28</v>
      </c>
      <c r="E780" s="59">
        <v>8.02</v>
      </c>
      <c r="F780" s="59">
        <v>0</v>
      </c>
      <c r="G780" s="59">
        <v>0</v>
      </c>
      <c r="H780" s="59" t="s">
        <v>1066</v>
      </c>
      <c r="I780" s="59">
        <v>32</v>
      </c>
      <c r="J780" s="109">
        <f t="shared" si="23"/>
        <v>16</v>
      </c>
      <c r="K780" s="172">
        <v>32</v>
      </c>
      <c r="L780" s="142" t="s">
        <v>597</v>
      </c>
      <c r="M780" s="170"/>
    </row>
    <row r="781" spans="1:13">
      <c r="A781" s="2"/>
      <c r="B781" s="61" t="s">
        <v>1187</v>
      </c>
      <c r="C781" s="59">
        <v>127</v>
      </c>
      <c r="D781" s="59">
        <v>17.829999999999998</v>
      </c>
      <c r="E781" s="59">
        <v>5.6</v>
      </c>
      <c r="F781" s="59">
        <v>0</v>
      </c>
      <c r="G781" s="59">
        <v>0</v>
      </c>
      <c r="H781" s="59" t="s">
        <v>1066</v>
      </c>
      <c r="I781" s="59">
        <v>218</v>
      </c>
      <c r="J781" s="109">
        <f t="shared" si="23"/>
        <v>109</v>
      </c>
      <c r="K781" s="172">
        <v>218</v>
      </c>
      <c r="L781" s="142" t="s">
        <v>597</v>
      </c>
      <c r="M781" s="170"/>
    </row>
    <row r="782" spans="1:13">
      <c r="A782" s="2"/>
      <c r="B782" s="61" t="s">
        <v>1027</v>
      </c>
      <c r="C782" s="59">
        <v>135</v>
      </c>
      <c r="D782" s="59">
        <v>15.55</v>
      </c>
      <c r="E782" s="59">
        <v>7.59</v>
      </c>
      <c r="F782" s="59">
        <v>0</v>
      </c>
      <c r="G782" s="59">
        <v>0</v>
      </c>
      <c r="H782" s="59" t="s">
        <v>1066</v>
      </c>
      <c r="I782" s="59">
        <v>159</v>
      </c>
      <c r="J782" s="109">
        <f t="shared" si="23"/>
        <v>79.5</v>
      </c>
      <c r="K782" s="172">
        <v>159</v>
      </c>
      <c r="L782" s="142" t="s">
        <v>597</v>
      </c>
      <c r="M782" s="170"/>
    </row>
    <row r="783" spans="1:13">
      <c r="A783" s="2"/>
      <c r="B783" s="61" t="s">
        <v>845</v>
      </c>
      <c r="C783" s="59">
        <v>105</v>
      </c>
      <c r="D783" s="59">
        <v>18.47</v>
      </c>
      <c r="E783" s="59">
        <v>2.85</v>
      </c>
      <c r="F783" s="59">
        <v>0</v>
      </c>
      <c r="G783" s="59">
        <v>0</v>
      </c>
      <c r="H783" s="59" t="s">
        <v>1066</v>
      </c>
      <c r="I783" s="59">
        <v>143</v>
      </c>
      <c r="J783" s="109">
        <f t="shared" si="23"/>
        <v>71.5</v>
      </c>
      <c r="K783" s="172">
        <v>143</v>
      </c>
      <c r="L783" s="142" t="s">
        <v>597</v>
      </c>
      <c r="M783" s="170"/>
    </row>
    <row r="784" spans="1:13">
      <c r="A784" s="2"/>
      <c r="B784" s="61" t="s">
        <v>1188</v>
      </c>
      <c r="C784" s="59">
        <v>252</v>
      </c>
      <c r="D784" s="59">
        <v>24.6</v>
      </c>
      <c r="E784" s="59">
        <v>17.899999999999999</v>
      </c>
      <c r="F784" s="59">
        <v>4</v>
      </c>
      <c r="G784" s="59">
        <v>0</v>
      </c>
      <c r="H784" s="59" t="s">
        <v>102</v>
      </c>
      <c r="I784" s="59">
        <v>16</v>
      </c>
      <c r="J784" s="109">
        <f t="shared" si="23"/>
        <v>8</v>
      </c>
      <c r="K784" s="172">
        <v>16</v>
      </c>
      <c r="L784" s="142" t="s">
        <v>536</v>
      </c>
      <c r="M784" s="170"/>
    </row>
    <row r="785" spans="1:13">
      <c r="A785" s="2"/>
      <c r="B785" s="61" t="s">
        <v>1189</v>
      </c>
      <c r="C785" s="59">
        <v>98</v>
      </c>
      <c r="D785" s="59">
        <v>18.989999999999998</v>
      </c>
      <c r="E785" s="59">
        <v>1.91</v>
      </c>
      <c r="F785" s="59">
        <v>0</v>
      </c>
      <c r="G785" s="59">
        <v>0</v>
      </c>
      <c r="H785" s="59" t="s">
        <v>1066</v>
      </c>
      <c r="I785" s="59">
        <v>79</v>
      </c>
      <c r="J785" s="109">
        <f t="shared" si="23"/>
        <v>39.5</v>
      </c>
      <c r="K785" s="172">
        <v>79</v>
      </c>
      <c r="L785" s="142" t="s">
        <v>597</v>
      </c>
      <c r="M785" s="170"/>
    </row>
    <row r="786" spans="1:13">
      <c r="A786" s="2"/>
      <c r="B786" s="61" t="s">
        <v>1083</v>
      </c>
      <c r="C786" s="59">
        <v>74</v>
      </c>
      <c r="D786" s="59">
        <v>12.77</v>
      </c>
      <c r="E786" s="59">
        <v>0.97</v>
      </c>
      <c r="F786" s="59">
        <v>2.57</v>
      </c>
      <c r="G786" s="59">
        <v>0</v>
      </c>
      <c r="H786" s="59" t="s">
        <v>1084</v>
      </c>
      <c r="I786" s="59">
        <v>227</v>
      </c>
      <c r="J786" s="109">
        <f t="shared" si="23"/>
        <v>28.375</v>
      </c>
      <c r="K786" s="172">
        <v>227</v>
      </c>
      <c r="L786" s="142" t="s">
        <v>512</v>
      </c>
      <c r="M786" s="170"/>
    </row>
    <row r="787" spans="1:13">
      <c r="A787" s="2"/>
      <c r="B787" s="61" t="s">
        <v>1011</v>
      </c>
      <c r="C787" s="59">
        <v>155</v>
      </c>
      <c r="D787" s="59">
        <v>20.21</v>
      </c>
      <c r="E787" s="59">
        <v>7.52</v>
      </c>
      <c r="F787" s="59">
        <v>0.48</v>
      </c>
      <c r="G787" s="59">
        <v>0</v>
      </c>
      <c r="H787" s="59" t="s">
        <v>1012</v>
      </c>
      <c r="I787" s="59">
        <v>60</v>
      </c>
      <c r="J787" s="110">
        <f t="shared" si="23"/>
        <v>30</v>
      </c>
      <c r="K787" s="172">
        <v>60</v>
      </c>
      <c r="L787" s="142" t="s">
        <v>598</v>
      </c>
      <c r="M787" s="170"/>
    </row>
    <row r="788" spans="1:13">
      <c r="A788" s="2"/>
      <c r="B788" s="61" t="s">
        <v>1013</v>
      </c>
      <c r="C788" s="59">
        <v>86</v>
      </c>
      <c r="D788" s="59">
        <v>17.41</v>
      </c>
      <c r="E788" s="59">
        <v>0.97</v>
      </c>
      <c r="F788" s="59">
        <v>0.74</v>
      </c>
      <c r="G788" s="59">
        <v>0</v>
      </c>
      <c r="H788" s="59" t="s">
        <v>1010</v>
      </c>
      <c r="I788" s="59">
        <v>163</v>
      </c>
      <c r="J788" s="109">
        <f t="shared" si="23"/>
        <v>81.5</v>
      </c>
      <c r="K788" s="172">
        <v>163</v>
      </c>
      <c r="L788" s="142" t="s">
        <v>599</v>
      </c>
      <c r="M788" s="170"/>
    </row>
    <row r="789" spans="1:13">
      <c r="A789" s="2"/>
      <c r="B789" s="61" t="s">
        <v>1014</v>
      </c>
      <c r="C789" s="59">
        <v>90</v>
      </c>
      <c r="D789" s="59">
        <v>18.5</v>
      </c>
      <c r="E789" s="59">
        <v>1.18</v>
      </c>
      <c r="F789" s="59">
        <v>0</v>
      </c>
      <c r="G789" s="59">
        <v>0</v>
      </c>
      <c r="H789" s="59" t="s">
        <v>82</v>
      </c>
      <c r="I789" s="59">
        <v>85</v>
      </c>
      <c r="J789" s="110">
        <f t="shared" si="23"/>
        <v>28.05</v>
      </c>
      <c r="K789" s="172">
        <v>28.333333333333332</v>
      </c>
      <c r="L789" s="148" t="s">
        <v>537</v>
      </c>
      <c r="M789" s="170"/>
    </row>
    <row r="790" spans="1:13">
      <c r="A790" s="2"/>
      <c r="B790" s="61" t="s">
        <v>1028</v>
      </c>
      <c r="C790" s="59">
        <v>72</v>
      </c>
      <c r="D790" s="59">
        <v>14.85</v>
      </c>
      <c r="E790" s="59">
        <v>0.97</v>
      </c>
      <c r="F790" s="59">
        <v>0</v>
      </c>
      <c r="G790" s="59">
        <v>0</v>
      </c>
      <c r="H790" s="59" t="s">
        <v>1016</v>
      </c>
      <c r="I790" s="59">
        <v>27</v>
      </c>
      <c r="J790" s="109">
        <f t="shared" si="23"/>
        <v>3.375</v>
      </c>
      <c r="K790" s="172">
        <v>3.375</v>
      </c>
      <c r="L790" s="148" t="s">
        <v>210</v>
      </c>
      <c r="M790" s="170"/>
    </row>
    <row r="791" spans="1:13">
      <c r="A791" s="2"/>
      <c r="B791" s="61" t="s">
        <v>1015</v>
      </c>
      <c r="C791" s="59">
        <v>77</v>
      </c>
      <c r="D791" s="59">
        <v>15.97</v>
      </c>
      <c r="E791" s="59">
        <v>0.95</v>
      </c>
      <c r="F791" s="59">
        <v>0</v>
      </c>
      <c r="G791" s="59">
        <v>0</v>
      </c>
      <c r="H791" s="59" t="s">
        <v>1016</v>
      </c>
      <c r="I791" s="59">
        <v>27</v>
      </c>
      <c r="J791" s="109">
        <f t="shared" si="23"/>
        <v>3.375</v>
      </c>
      <c r="K791" s="172">
        <v>3.375</v>
      </c>
      <c r="L791" s="148" t="s">
        <v>210</v>
      </c>
      <c r="M791" s="170"/>
    </row>
    <row r="792" spans="1:13">
      <c r="A792" s="2"/>
      <c r="B792" s="61" t="s">
        <v>1190</v>
      </c>
      <c r="C792" s="59">
        <v>104</v>
      </c>
      <c r="D792" s="59">
        <v>17.78</v>
      </c>
      <c r="E792" s="59">
        <v>3.17</v>
      </c>
      <c r="F792" s="59">
        <v>0</v>
      </c>
      <c r="G792" s="59">
        <v>0</v>
      </c>
      <c r="H792" s="59" t="s">
        <v>1066</v>
      </c>
      <c r="I792" s="59">
        <v>79</v>
      </c>
      <c r="J792" s="109">
        <f t="shared" si="23"/>
        <v>39.5</v>
      </c>
      <c r="K792" s="172">
        <v>79</v>
      </c>
      <c r="L792" s="142" t="s">
        <v>597</v>
      </c>
      <c r="M792" s="170"/>
    </row>
    <row r="793" spans="1:13">
      <c r="A793" s="2"/>
      <c r="B793" s="61" t="s">
        <v>1191</v>
      </c>
      <c r="C793" s="59">
        <v>87</v>
      </c>
      <c r="D793" s="59">
        <v>18.989999999999998</v>
      </c>
      <c r="E793" s="59">
        <v>0.69</v>
      </c>
      <c r="F793" s="59">
        <v>0</v>
      </c>
      <c r="G793" s="59">
        <v>0</v>
      </c>
      <c r="H793" s="59" t="s">
        <v>1066</v>
      </c>
      <c r="I793" s="59">
        <v>122</v>
      </c>
      <c r="J793" s="109">
        <f t="shared" si="23"/>
        <v>61</v>
      </c>
      <c r="K793" s="172">
        <v>122</v>
      </c>
      <c r="L793" s="142" t="s">
        <v>597</v>
      </c>
      <c r="M793" s="170"/>
    </row>
    <row r="794" spans="1:13">
      <c r="A794" s="2"/>
      <c r="B794" s="61" t="s">
        <v>1085</v>
      </c>
      <c r="C794" s="59">
        <v>79</v>
      </c>
      <c r="D794" s="59">
        <v>16.239999999999998</v>
      </c>
      <c r="E794" s="59">
        <v>0.7</v>
      </c>
      <c r="F794" s="59">
        <v>0.82</v>
      </c>
      <c r="G794" s="59">
        <v>0</v>
      </c>
      <c r="H794" s="59" t="s">
        <v>82</v>
      </c>
      <c r="I794" s="59">
        <v>85</v>
      </c>
      <c r="J794" s="110">
        <f t="shared" si="23"/>
        <v>28.05</v>
      </c>
      <c r="K794" s="172">
        <v>28.333333333333332</v>
      </c>
      <c r="L794" s="148" t="s">
        <v>537</v>
      </c>
      <c r="M794" s="170"/>
    </row>
    <row r="795" spans="1:13">
      <c r="A795" s="2"/>
      <c r="B795" s="61" t="s">
        <v>1192</v>
      </c>
      <c r="C795" s="59">
        <v>85</v>
      </c>
      <c r="D795" s="59">
        <v>18.5</v>
      </c>
      <c r="E795" s="59">
        <v>0.7</v>
      </c>
      <c r="F795" s="59">
        <v>0</v>
      </c>
      <c r="G795" s="59">
        <v>0</v>
      </c>
      <c r="H795" s="59" t="s">
        <v>1066</v>
      </c>
      <c r="I795" s="59">
        <v>204</v>
      </c>
      <c r="J795" s="109">
        <f t="shared" si="23"/>
        <v>102</v>
      </c>
      <c r="K795" s="172">
        <v>204</v>
      </c>
      <c r="L795" s="142" t="s">
        <v>597</v>
      </c>
      <c r="M795" s="170"/>
    </row>
    <row r="796" spans="1:13">
      <c r="A796" s="2"/>
      <c r="B796" s="61" t="s">
        <v>1193</v>
      </c>
      <c r="C796" s="59">
        <v>119</v>
      </c>
      <c r="D796" s="59">
        <v>17.54</v>
      </c>
      <c r="E796" s="59">
        <v>4.93</v>
      </c>
      <c r="F796" s="59">
        <v>0</v>
      </c>
      <c r="G796" s="59">
        <v>0</v>
      </c>
      <c r="H796" s="59" t="s">
        <v>1066</v>
      </c>
      <c r="I796" s="59">
        <v>198</v>
      </c>
      <c r="J796" s="109">
        <f t="shared" si="23"/>
        <v>99</v>
      </c>
      <c r="K796" s="172">
        <v>198</v>
      </c>
      <c r="L796" s="142" t="s">
        <v>597</v>
      </c>
      <c r="M796" s="170"/>
    </row>
    <row r="797" spans="1:13">
      <c r="A797" s="2"/>
      <c r="B797" s="61" t="s">
        <v>1194</v>
      </c>
      <c r="C797" s="59">
        <v>184</v>
      </c>
      <c r="D797" s="59">
        <v>18.440000000000001</v>
      </c>
      <c r="E797" s="59">
        <v>11.66</v>
      </c>
      <c r="F797" s="59">
        <v>0</v>
      </c>
      <c r="G797" s="59">
        <v>0</v>
      </c>
      <c r="H797" s="59" t="s">
        <v>1066</v>
      </c>
      <c r="I797" s="59">
        <v>204</v>
      </c>
      <c r="J797" s="109">
        <f t="shared" si="23"/>
        <v>102</v>
      </c>
      <c r="K797" s="172">
        <v>204</v>
      </c>
      <c r="L797" s="142" t="s">
        <v>597</v>
      </c>
      <c r="M797" s="170"/>
    </row>
    <row r="798" spans="1:13">
      <c r="A798" s="2"/>
      <c r="B798" s="61" t="s">
        <v>1195</v>
      </c>
      <c r="C798" s="59">
        <v>249</v>
      </c>
      <c r="D798" s="59">
        <v>11.04</v>
      </c>
      <c r="E798" s="59">
        <v>13.25</v>
      </c>
      <c r="F798" s="59">
        <v>21.18</v>
      </c>
      <c r="G798" s="59">
        <v>1.4</v>
      </c>
      <c r="H798" s="59" t="s">
        <v>1454</v>
      </c>
      <c r="I798" s="59">
        <v>28</v>
      </c>
      <c r="J798" s="109">
        <f t="shared" si="23"/>
        <v>14</v>
      </c>
      <c r="K798" s="172">
        <v>28</v>
      </c>
      <c r="L798" s="142" t="s">
        <v>569</v>
      </c>
      <c r="M798" s="170"/>
    </row>
    <row r="799" spans="1:13">
      <c r="A799" s="2"/>
      <c r="B799" s="61" t="s">
        <v>846</v>
      </c>
      <c r="C799" s="59">
        <v>91</v>
      </c>
      <c r="D799" s="59">
        <v>18.84</v>
      </c>
      <c r="E799" s="59">
        <v>1.19</v>
      </c>
      <c r="F799" s="59">
        <v>0</v>
      </c>
      <c r="G799" s="59">
        <v>0</v>
      </c>
      <c r="H799" s="59" t="s">
        <v>1066</v>
      </c>
      <c r="I799" s="59">
        <v>163</v>
      </c>
      <c r="J799" s="109">
        <f t="shared" ref="J799:J830" si="24">I799*VLOOKUP(H799,Fractional,2,FALSE)</f>
        <v>81.5</v>
      </c>
      <c r="K799" s="172">
        <v>163</v>
      </c>
      <c r="L799" s="142" t="s">
        <v>597</v>
      </c>
      <c r="M799" s="170"/>
    </row>
    <row r="800" spans="1:13">
      <c r="A800" s="2"/>
      <c r="B800" s="61" t="s">
        <v>1196</v>
      </c>
      <c r="C800" s="59">
        <v>92</v>
      </c>
      <c r="D800" s="59">
        <v>19.38</v>
      </c>
      <c r="E800" s="59">
        <v>1.02</v>
      </c>
      <c r="F800" s="59">
        <v>0</v>
      </c>
      <c r="G800" s="59">
        <v>0</v>
      </c>
      <c r="H800" s="59" t="s">
        <v>1066</v>
      </c>
      <c r="I800" s="59">
        <v>259</v>
      </c>
      <c r="J800" s="109">
        <f t="shared" si="24"/>
        <v>129.5</v>
      </c>
      <c r="K800" s="172">
        <v>259</v>
      </c>
      <c r="L800" s="142" t="s">
        <v>597</v>
      </c>
      <c r="M800" s="170"/>
    </row>
    <row r="801" spans="1:13">
      <c r="A801" s="2"/>
      <c r="B801" s="61" t="s">
        <v>1197</v>
      </c>
      <c r="C801" s="59">
        <v>110</v>
      </c>
      <c r="D801" s="59">
        <v>20.81</v>
      </c>
      <c r="E801" s="59">
        <v>2.29</v>
      </c>
      <c r="F801" s="59">
        <v>0</v>
      </c>
      <c r="G801" s="59">
        <v>0</v>
      </c>
      <c r="H801" s="59" t="s">
        <v>1066</v>
      </c>
      <c r="I801" s="59">
        <v>204</v>
      </c>
      <c r="J801" s="109">
        <f t="shared" si="24"/>
        <v>102</v>
      </c>
      <c r="K801" s="172">
        <v>204</v>
      </c>
      <c r="L801" s="142" t="s">
        <v>597</v>
      </c>
      <c r="M801" s="170"/>
    </row>
    <row r="802" spans="1:13">
      <c r="A802" s="2"/>
      <c r="B802" s="61" t="s">
        <v>1198</v>
      </c>
      <c r="C802" s="59">
        <v>158</v>
      </c>
      <c r="D802" s="59">
        <v>17.96</v>
      </c>
      <c r="E802" s="59">
        <v>9.0399999999999991</v>
      </c>
      <c r="F802" s="59">
        <v>0</v>
      </c>
      <c r="G802" s="59">
        <v>0</v>
      </c>
      <c r="H802" s="59" t="s">
        <v>1066</v>
      </c>
      <c r="I802" s="59">
        <v>184</v>
      </c>
      <c r="J802" s="109">
        <f t="shared" si="24"/>
        <v>92</v>
      </c>
      <c r="K802" s="172">
        <v>184</v>
      </c>
      <c r="L802" s="142" t="s">
        <v>597</v>
      </c>
      <c r="M802" s="170"/>
    </row>
    <row r="803" spans="1:13">
      <c r="A803" s="2"/>
      <c r="B803" s="61" t="s">
        <v>1199</v>
      </c>
      <c r="C803" s="59">
        <v>87</v>
      </c>
      <c r="D803" s="59">
        <v>18.989999999999998</v>
      </c>
      <c r="E803" s="59">
        <v>0.64</v>
      </c>
      <c r="F803" s="59">
        <v>0</v>
      </c>
      <c r="G803" s="59">
        <v>0</v>
      </c>
      <c r="H803" s="59" t="s">
        <v>1066</v>
      </c>
      <c r="I803" s="59">
        <v>193</v>
      </c>
      <c r="J803" s="109">
        <f t="shared" si="24"/>
        <v>96.5</v>
      </c>
      <c r="K803" s="172">
        <v>193</v>
      </c>
      <c r="L803" s="142" t="s">
        <v>597</v>
      </c>
      <c r="M803" s="170"/>
    </row>
    <row r="804" spans="1:13">
      <c r="A804" s="2"/>
      <c r="B804" s="61" t="s">
        <v>1200</v>
      </c>
      <c r="C804" s="59">
        <v>85</v>
      </c>
      <c r="D804" s="59">
        <v>17.66</v>
      </c>
      <c r="E804" s="59">
        <v>1.06</v>
      </c>
      <c r="F804" s="59">
        <v>0</v>
      </c>
      <c r="G804" s="59">
        <v>0</v>
      </c>
      <c r="H804" s="59" t="s">
        <v>956</v>
      </c>
      <c r="I804" s="59">
        <v>193</v>
      </c>
      <c r="J804" s="109">
        <f t="shared" si="24"/>
        <v>193</v>
      </c>
      <c r="K804" s="172">
        <v>386</v>
      </c>
      <c r="L804" s="142" t="s">
        <v>597</v>
      </c>
      <c r="M804" s="170"/>
    </row>
    <row r="805" spans="1:13">
      <c r="A805" s="2"/>
      <c r="B805" s="61" t="s">
        <v>1078</v>
      </c>
      <c r="C805" s="59">
        <v>90</v>
      </c>
      <c r="D805" s="59">
        <v>18.8</v>
      </c>
      <c r="E805" s="59">
        <v>0.9</v>
      </c>
      <c r="F805" s="59">
        <v>0.5</v>
      </c>
      <c r="G805" s="59">
        <v>0</v>
      </c>
      <c r="H805" s="59" t="s">
        <v>1079</v>
      </c>
      <c r="I805" s="59">
        <v>150</v>
      </c>
      <c r="J805" s="109">
        <f t="shared" si="24"/>
        <v>75</v>
      </c>
      <c r="K805" s="172">
        <v>150</v>
      </c>
      <c r="L805" s="142" t="s">
        <v>600</v>
      </c>
      <c r="M805" s="170"/>
    </row>
    <row r="806" spans="1:13">
      <c r="A806" s="2"/>
      <c r="B806" s="61" t="s">
        <v>39</v>
      </c>
      <c r="C806" s="59">
        <v>205</v>
      </c>
      <c r="D806" s="59">
        <v>18.600000000000001</v>
      </c>
      <c r="E806" s="59">
        <v>13.89</v>
      </c>
      <c r="F806" s="59">
        <v>0</v>
      </c>
      <c r="G806" s="59">
        <v>0</v>
      </c>
      <c r="H806" s="59" t="s">
        <v>1066</v>
      </c>
      <c r="I806" s="59">
        <v>112</v>
      </c>
      <c r="J806" s="109">
        <f t="shared" si="24"/>
        <v>56</v>
      </c>
      <c r="K806" s="172">
        <v>112</v>
      </c>
      <c r="L806" s="142" t="s">
        <v>597</v>
      </c>
      <c r="M806" s="170"/>
    </row>
    <row r="807" spans="1:13">
      <c r="A807" s="2"/>
      <c r="B807" s="61" t="s">
        <v>1201</v>
      </c>
      <c r="C807" s="59">
        <v>148</v>
      </c>
      <c r="D807" s="59">
        <v>20.53</v>
      </c>
      <c r="E807" s="59">
        <v>6.73</v>
      </c>
      <c r="F807" s="59">
        <v>0</v>
      </c>
      <c r="G807" s="59">
        <v>0</v>
      </c>
      <c r="H807" s="59" t="s">
        <v>82</v>
      </c>
      <c r="I807" s="59">
        <v>85</v>
      </c>
      <c r="J807" s="110">
        <f t="shared" si="24"/>
        <v>28.05</v>
      </c>
      <c r="K807" s="172">
        <v>28.333333333333332</v>
      </c>
      <c r="L807" s="148" t="s">
        <v>537</v>
      </c>
      <c r="M807" s="170"/>
    </row>
    <row r="808" spans="1:13">
      <c r="A808" s="2"/>
      <c r="B808" s="61" t="s">
        <v>1202</v>
      </c>
      <c r="C808" s="59">
        <v>76</v>
      </c>
      <c r="D808" s="59">
        <v>14.48</v>
      </c>
      <c r="E808" s="59">
        <v>1.52</v>
      </c>
      <c r="F808" s="59">
        <v>0</v>
      </c>
      <c r="G808" s="59">
        <v>0</v>
      </c>
      <c r="H808" s="59" t="s">
        <v>82</v>
      </c>
      <c r="I808" s="59">
        <v>85</v>
      </c>
      <c r="J808" s="110">
        <f t="shared" si="24"/>
        <v>28.05</v>
      </c>
      <c r="K808" s="172">
        <v>28.333333333333332</v>
      </c>
      <c r="L808" s="148" t="s">
        <v>537</v>
      </c>
      <c r="M808" s="170"/>
    </row>
    <row r="809" spans="1:13">
      <c r="A809" s="2"/>
      <c r="B809" s="61" t="s">
        <v>1203</v>
      </c>
      <c r="C809" s="59">
        <v>117</v>
      </c>
      <c r="D809" s="59">
        <v>19.350000000000001</v>
      </c>
      <c r="E809" s="59">
        <v>3.79</v>
      </c>
      <c r="F809" s="59">
        <v>0</v>
      </c>
      <c r="G809" s="59">
        <v>0</v>
      </c>
      <c r="H809" s="59" t="s">
        <v>1066</v>
      </c>
      <c r="I809" s="59">
        <v>119</v>
      </c>
      <c r="J809" s="109">
        <f t="shared" si="24"/>
        <v>59.5</v>
      </c>
      <c r="K809" s="172">
        <v>119</v>
      </c>
      <c r="L809" s="142" t="s">
        <v>597</v>
      </c>
      <c r="M809" s="170"/>
    </row>
    <row r="810" spans="1:13">
      <c r="A810" s="2"/>
      <c r="B810" s="61" t="s">
        <v>1086</v>
      </c>
      <c r="C810" s="59">
        <v>86</v>
      </c>
      <c r="D810" s="59">
        <v>11.9</v>
      </c>
      <c r="E810" s="59">
        <v>2.2400000000000002</v>
      </c>
      <c r="F810" s="59">
        <v>3.69</v>
      </c>
      <c r="G810" s="59">
        <v>0</v>
      </c>
      <c r="H810" s="59" t="s">
        <v>101</v>
      </c>
      <c r="I810" s="59">
        <v>150</v>
      </c>
      <c r="J810" s="109">
        <f t="shared" si="24"/>
        <v>18.75</v>
      </c>
      <c r="K810" s="172">
        <v>150</v>
      </c>
      <c r="L810" s="142" t="s">
        <v>512</v>
      </c>
      <c r="M810" s="170"/>
    </row>
    <row r="811" spans="1:13">
      <c r="A811" s="2"/>
      <c r="B811" s="61" t="s">
        <v>1204</v>
      </c>
      <c r="C811" s="59">
        <v>94</v>
      </c>
      <c r="D811" s="59">
        <v>18.62</v>
      </c>
      <c r="E811" s="59">
        <v>1.63</v>
      </c>
      <c r="F811" s="59">
        <v>0</v>
      </c>
      <c r="G811" s="59">
        <v>0</v>
      </c>
      <c r="H811" s="59" t="s">
        <v>1066</v>
      </c>
      <c r="I811" s="59">
        <v>64</v>
      </c>
      <c r="J811" s="109">
        <f t="shared" si="24"/>
        <v>32</v>
      </c>
      <c r="K811" s="172">
        <v>64</v>
      </c>
      <c r="L811" s="142" t="s">
        <v>597</v>
      </c>
      <c r="M811" s="170"/>
    </row>
    <row r="812" spans="1:13">
      <c r="A812" s="2"/>
      <c r="B812" s="61" t="s">
        <v>1087</v>
      </c>
      <c r="C812" s="59">
        <v>82</v>
      </c>
      <c r="D812" s="59">
        <v>14.91</v>
      </c>
      <c r="E812" s="59">
        <v>1.04</v>
      </c>
      <c r="F812" s="59">
        <v>2.2000000000000002</v>
      </c>
      <c r="G812" s="59">
        <v>0</v>
      </c>
      <c r="H812" s="59" t="s">
        <v>82</v>
      </c>
      <c r="I812" s="59">
        <v>85</v>
      </c>
      <c r="J812" s="110">
        <f t="shared" si="24"/>
        <v>28.05</v>
      </c>
      <c r="K812" s="172">
        <v>28.333333333333332</v>
      </c>
      <c r="L812" s="148" t="s">
        <v>537</v>
      </c>
      <c r="M812" s="170"/>
    </row>
    <row r="813" spans="1:13">
      <c r="A813" s="2"/>
      <c r="B813" s="61" t="s">
        <v>1088</v>
      </c>
      <c r="C813" s="59">
        <v>68</v>
      </c>
      <c r="D813" s="59">
        <v>7.05</v>
      </c>
      <c r="E813" s="59">
        <v>2.46</v>
      </c>
      <c r="F813" s="59">
        <v>3.91</v>
      </c>
      <c r="G813" s="59">
        <v>0</v>
      </c>
      <c r="H813" s="59" t="s">
        <v>1089</v>
      </c>
      <c r="I813" s="59">
        <v>84</v>
      </c>
      <c r="J813" s="109">
        <f t="shared" si="24"/>
        <v>14.028</v>
      </c>
      <c r="K813" s="172">
        <v>14</v>
      </c>
      <c r="L813" s="148" t="s">
        <v>1443</v>
      </c>
      <c r="M813" s="170"/>
    </row>
    <row r="814" spans="1:13">
      <c r="A814" s="2"/>
      <c r="B814" s="61" t="s">
        <v>1206</v>
      </c>
      <c r="C814" s="59">
        <v>91</v>
      </c>
      <c r="D814" s="59">
        <v>19.39</v>
      </c>
      <c r="E814" s="59">
        <v>0.92</v>
      </c>
      <c r="F814" s="59">
        <v>0</v>
      </c>
      <c r="G814" s="59">
        <v>0</v>
      </c>
      <c r="H814" s="59" t="s">
        <v>1066</v>
      </c>
      <c r="I814" s="59">
        <v>60</v>
      </c>
      <c r="J814" s="109">
        <f t="shared" si="24"/>
        <v>30</v>
      </c>
      <c r="K814" s="172">
        <v>60</v>
      </c>
      <c r="L814" s="142" t="s">
        <v>597</v>
      </c>
      <c r="M814" s="170"/>
    </row>
    <row r="815" spans="1:13">
      <c r="A815" s="2"/>
      <c r="B815" s="61" t="s">
        <v>1207</v>
      </c>
      <c r="C815" s="59">
        <v>92</v>
      </c>
      <c r="D815" s="59">
        <v>19.440000000000001</v>
      </c>
      <c r="E815" s="59">
        <v>0.98</v>
      </c>
      <c r="F815" s="59">
        <v>0</v>
      </c>
      <c r="G815" s="59">
        <v>0</v>
      </c>
      <c r="H815" s="59" t="s">
        <v>956</v>
      </c>
      <c r="I815" s="59">
        <v>193</v>
      </c>
      <c r="J815" s="109">
        <f t="shared" si="24"/>
        <v>193</v>
      </c>
      <c r="K815" s="172">
        <v>386</v>
      </c>
      <c r="L815" s="142" t="s">
        <v>597</v>
      </c>
      <c r="M815" s="170"/>
    </row>
    <row r="816" spans="1:13">
      <c r="A816" s="2"/>
      <c r="B816" s="61" t="s">
        <v>1208</v>
      </c>
      <c r="C816" s="59">
        <v>164</v>
      </c>
      <c r="D816" s="59">
        <v>18.48</v>
      </c>
      <c r="E816" s="59">
        <v>9.4700000000000006</v>
      </c>
      <c r="F816" s="59">
        <v>0</v>
      </c>
      <c r="G816" s="59">
        <v>0</v>
      </c>
      <c r="H816" s="59" t="s">
        <v>1066</v>
      </c>
      <c r="I816" s="59">
        <v>112</v>
      </c>
      <c r="J816" s="109">
        <f t="shared" si="24"/>
        <v>56</v>
      </c>
      <c r="K816" s="172">
        <v>112</v>
      </c>
      <c r="L816" s="142" t="s">
        <v>597</v>
      </c>
      <c r="M816" s="170"/>
    </row>
    <row r="817" spans="1:13">
      <c r="A817" s="2"/>
      <c r="B817" s="61" t="s">
        <v>1205</v>
      </c>
      <c r="C817" s="59">
        <v>79</v>
      </c>
      <c r="D817" s="59">
        <v>16.64</v>
      </c>
      <c r="E817" s="59">
        <v>0.91</v>
      </c>
      <c r="F817" s="59">
        <v>0</v>
      </c>
      <c r="G817" s="59">
        <v>0</v>
      </c>
      <c r="H817" s="59" t="s">
        <v>956</v>
      </c>
      <c r="I817" s="59">
        <v>176</v>
      </c>
      <c r="J817" s="109">
        <f t="shared" si="24"/>
        <v>176</v>
      </c>
      <c r="K817" s="172">
        <v>352</v>
      </c>
      <c r="L817" s="142" t="s">
        <v>597</v>
      </c>
      <c r="M817" s="170"/>
    </row>
    <row r="818" spans="1:13">
      <c r="A818" s="2"/>
      <c r="B818" s="61" t="s">
        <v>1209</v>
      </c>
      <c r="C818" s="59">
        <v>94</v>
      </c>
      <c r="D818" s="59">
        <v>18.75</v>
      </c>
      <c r="E818" s="59">
        <v>1.57</v>
      </c>
      <c r="F818" s="59">
        <v>0</v>
      </c>
      <c r="G818" s="59">
        <v>0</v>
      </c>
      <c r="H818" s="59" t="s">
        <v>1066</v>
      </c>
      <c r="I818" s="59">
        <v>191</v>
      </c>
      <c r="J818" s="109">
        <f t="shared" si="24"/>
        <v>95.5</v>
      </c>
      <c r="K818" s="172">
        <v>191</v>
      </c>
      <c r="L818" s="142" t="s">
        <v>597</v>
      </c>
      <c r="M818" s="170"/>
    </row>
    <row r="819" spans="1:13">
      <c r="A819" s="2"/>
      <c r="B819" s="61" t="s">
        <v>1210</v>
      </c>
      <c r="C819" s="59">
        <v>143</v>
      </c>
      <c r="D819" s="59">
        <v>22.32</v>
      </c>
      <c r="E819" s="59">
        <v>6.42</v>
      </c>
      <c r="F819" s="59">
        <v>1.5</v>
      </c>
      <c r="G819" s="59">
        <v>0</v>
      </c>
      <c r="H819" s="59" t="s">
        <v>102</v>
      </c>
      <c r="I819" s="59">
        <v>14</v>
      </c>
      <c r="J819" s="109">
        <f t="shared" si="24"/>
        <v>7</v>
      </c>
      <c r="K819" s="172">
        <v>14</v>
      </c>
      <c r="L819" s="142" t="s">
        <v>536</v>
      </c>
      <c r="M819" s="170"/>
    </row>
    <row r="820" spans="1:13">
      <c r="A820" s="2"/>
      <c r="B820" s="61" t="s">
        <v>1211</v>
      </c>
      <c r="C820" s="59">
        <v>76</v>
      </c>
      <c r="D820" s="59">
        <v>16.41</v>
      </c>
      <c r="E820" s="59">
        <v>0.7</v>
      </c>
      <c r="F820" s="59">
        <v>0</v>
      </c>
      <c r="G820" s="59">
        <v>0</v>
      </c>
      <c r="H820" s="59" t="s">
        <v>82</v>
      </c>
      <c r="I820" s="59">
        <v>85</v>
      </c>
      <c r="J820" s="110">
        <f t="shared" si="24"/>
        <v>28.05</v>
      </c>
      <c r="K820" s="172">
        <v>28.333333333333332</v>
      </c>
      <c r="L820" s="148" t="s">
        <v>537</v>
      </c>
      <c r="M820" s="170"/>
    </row>
    <row r="821" spans="1:13">
      <c r="A821" s="2"/>
      <c r="B821" s="61" t="s">
        <v>1212</v>
      </c>
      <c r="C821" s="59">
        <v>195</v>
      </c>
      <c r="D821" s="59">
        <v>13.41</v>
      </c>
      <c r="E821" s="59">
        <v>15.3</v>
      </c>
      <c r="F821" s="59">
        <v>0</v>
      </c>
      <c r="G821" s="59">
        <v>0</v>
      </c>
      <c r="H821" s="59" t="s">
        <v>956</v>
      </c>
      <c r="I821" s="59">
        <v>193</v>
      </c>
      <c r="J821" s="109">
        <f t="shared" si="24"/>
        <v>193</v>
      </c>
      <c r="K821" s="172">
        <v>386</v>
      </c>
      <c r="L821" s="142" t="s">
        <v>597</v>
      </c>
      <c r="M821" s="170"/>
    </row>
    <row r="822" spans="1:13">
      <c r="A822" s="2"/>
      <c r="B822" s="61" t="s">
        <v>1067</v>
      </c>
      <c r="C822" s="59">
        <v>142</v>
      </c>
      <c r="D822" s="59">
        <v>19.84</v>
      </c>
      <c r="E822" s="59">
        <v>6.34</v>
      </c>
      <c r="F822" s="59">
        <v>0</v>
      </c>
      <c r="G822" s="59">
        <v>0</v>
      </c>
      <c r="H822" s="59" t="s">
        <v>956</v>
      </c>
      <c r="I822" s="59">
        <v>198</v>
      </c>
      <c r="J822" s="109">
        <f t="shared" si="24"/>
        <v>198</v>
      </c>
      <c r="K822" s="172">
        <v>396</v>
      </c>
      <c r="L822" s="142" t="s">
        <v>597</v>
      </c>
      <c r="M822" s="170"/>
    </row>
    <row r="823" spans="1:13">
      <c r="A823" s="2"/>
      <c r="B823" s="61" t="s">
        <v>1068</v>
      </c>
      <c r="C823" s="59">
        <v>179</v>
      </c>
      <c r="D823" s="59">
        <v>19.93</v>
      </c>
      <c r="E823" s="59">
        <v>10.43</v>
      </c>
      <c r="F823" s="59">
        <v>0</v>
      </c>
      <c r="G823" s="59">
        <v>0</v>
      </c>
      <c r="H823" s="59" t="s">
        <v>956</v>
      </c>
      <c r="I823" s="59">
        <v>198</v>
      </c>
      <c r="J823" s="109">
        <f t="shared" si="24"/>
        <v>198</v>
      </c>
      <c r="K823" s="172">
        <v>396</v>
      </c>
      <c r="L823" s="142" t="s">
        <v>597</v>
      </c>
      <c r="M823" s="170"/>
    </row>
    <row r="824" spans="1:13">
      <c r="A824" s="2"/>
      <c r="B824" s="61" t="s">
        <v>1069</v>
      </c>
      <c r="C824" s="59">
        <v>120</v>
      </c>
      <c r="D824" s="59">
        <v>20.14</v>
      </c>
      <c r="E824" s="59">
        <v>3.77</v>
      </c>
      <c r="F824" s="59">
        <v>0</v>
      </c>
      <c r="G824" s="59">
        <v>0</v>
      </c>
      <c r="H824" s="59" t="s">
        <v>956</v>
      </c>
      <c r="I824" s="59">
        <v>198</v>
      </c>
      <c r="J824" s="109">
        <f t="shared" si="24"/>
        <v>198</v>
      </c>
      <c r="K824" s="172">
        <v>396</v>
      </c>
      <c r="L824" s="142" t="s">
        <v>597</v>
      </c>
      <c r="M824" s="170"/>
    </row>
    <row r="825" spans="1:13">
      <c r="A825" s="2"/>
      <c r="B825" s="61" t="s">
        <v>1070</v>
      </c>
      <c r="C825" s="59">
        <v>146</v>
      </c>
      <c r="D825" s="59">
        <v>21.62</v>
      </c>
      <c r="E825" s="59">
        <v>5.93</v>
      </c>
      <c r="F825" s="59">
        <v>0</v>
      </c>
      <c r="G825" s="59">
        <v>0</v>
      </c>
      <c r="H825" s="59" t="s">
        <v>956</v>
      </c>
      <c r="I825" s="59">
        <v>198</v>
      </c>
      <c r="J825" s="109">
        <f t="shared" si="24"/>
        <v>198</v>
      </c>
      <c r="K825" s="172">
        <v>396</v>
      </c>
      <c r="L825" s="142" t="s">
        <v>597</v>
      </c>
      <c r="M825" s="170"/>
    </row>
    <row r="826" spans="1:13">
      <c r="A826" s="2"/>
      <c r="B826" s="61" t="s">
        <v>1071</v>
      </c>
      <c r="C826" s="59">
        <v>168</v>
      </c>
      <c r="D826" s="59">
        <v>21.3</v>
      </c>
      <c r="E826" s="59">
        <v>8.56</v>
      </c>
      <c r="F826" s="59">
        <v>0</v>
      </c>
      <c r="G826" s="59">
        <v>0</v>
      </c>
      <c r="H826" s="59" t="s">
        <v>956</v>
      </c>
      <c r="I826" s="59">
        <v>198</v>
      </c>
      <c r="J826" s="109">
        <f t="shared" si="24"/>
        <v>198</v>
      </c>
      <c r="K826" s="172">
        <v>396</v>
      </c>
      <c r="L826" s="142" t="s">
        <v>597</v>
      </c>
      <c r="M826" s="170"/>
    </row>
    <row r="827" spans="1:13">
      <c r="A827" s="2"/>
      <c r="B827" s="61" t="s">
        <v>847</v>
      </c>
      <c r="C827" s="59">
        <v>208</v>
      </c>
      <c r="D827" s="59">
        <v>24.62</v>
      </c>
      <c r="E827" s="59">
        <v>11.45</v>
      </c>
      <c r="F827" s="59">
        <v>0</v>
      </c>
      <c r="G827" s="59">
        <v>0</v>
      </c>
      <c r="H827" s="59" t="s">
        <v>74</v>
      </c>
      <c r="I827" s="59">
        <v>149</v>
      </c>
      <c r="J827" s="109">
        <f t="shared" si="24"/>
        <v>18.625</v>
      </c>
      <c r="K827" s="172">
        <v>149</v>
      </c>
      <c r="L827" s="142" t="s">
        <v>512</v>
      </c>
      <c r="M827" s="170"/>
    </row>
    <row r="828" spans="1:13">
      <c r="A828" s="2"/>
      <c r="B828" s="61" t="s">
        <v>848</v>
      </c>
      <c r="C828" s="59">
        <v>186</v>
      </c>
      <c r="D828" s="59">
        <v>20.86</v>
      </c>
      <c r="E828" s="59">
        <v>10.46</v>
      </c>
      <c r="F828" s="59">
        <v>0.74</v>
      </c>
      <c r="G828" s="59">
        <v>0.1</v>
      </c>
      <c r="H828" s="59" t="s">
        <v>269</v>
      </c>
      <c r="I828" s="59">
        <v>370</v>
      </c>
      <c r="J828" s="109">
        <f t="shared" si="24"/>
        <v>92.5</v>
      </c>
      <c r="K828" s="172">
        <v>370</v>
      </c>
      <c r="L828" s="142" t="s">
        <v>579</v>
      </c>
      <c r="M828" s="170"/>
    </row>
    <row r="829" spans="1:13">
      <c r="A829" s="2"/>
      <c r="B829" s="61" t="s">
        <v>1090</v>
      </c>
      <c r="C829" s="59">
        <v>88</v>
      </c>
      <c r="D829" s="59">
        <v>16.78</v>
      </c>
      <c r="E829" s="59">
        <v>0.76</v>
      </c>
      <c r="F829" s="59">
        <v>2.36</v>
      </c>
      <c r="G829" s="59">
        <v>0</v>
      </c>
      <c r="H829" s="59" t="s">
        <v>1091</v>
      </c>
      <c r="I829" s="59">
        <v>30</v>
      </c>
      <c r="J829" s="109">
        <f t="shared" si="24"/>
        <v>15</v>
      </c>
      <c r="K829" s="172">
        <v>30</v>
      </c>
      <c r="L829" s="142" t="s">
        <v>1444</v>
      </c>
      <c r="M829" s="170"/>
    </row>
    <row r="830" spans="1:13">
      <c r="A830" s="2"/>
      <c r="B830" s="61" t="s">
        <v>1072</v>
      </c>
      <c r="C830" s="59">
        <v>105</v>
      </c>
      <c r="D830" s="59">
        <v>18.88</v>
      </c>
      <c r="E830" s="59">
        <v>2.73</v>
      </c>
      <c r="F830" s="59">
        <v>0</v>
      </c>
      <c r="G830" s="59">
        <v>0</v>
      </c>
      <c r="H830" s="59" t="s">
        <v>101</v>
      </c>
      <c r="I830" s="59">
        <v>166</v>
      </c>
      <c r="J830" s="109">
        <f t="shared" si="24"/>
        <v>20.75</v>
      </c>
      <c r="K830" s="172">
        <v>166</v>
      </c>
      <c r="L830" s="142" t="s">
        <v>512</v>
      </c>
      <c r="M830" s="170"/>
    </row>
    <row r="831" spans="1:13">
      <c r="A831" s="2"/>
      <c r="B831" s="61" t="s">
        <v>1385</v>
      </c>
      <c r="C831" s="59">
        <v>97</v>
      </c>
      <c r="D831" s="59">
        <v>18.43</v>
      </c>
      <c r="E831" s="59">
        <v>2</v>
      </c>
      <c r="F831" s="59">
        <v>0</v>
      </c>
      <c r="G831" s="59">
        <v>0</v>
      </c>
      <c r="H831" s="59" t="s">
        <v>1066</v>
      </c>
      <c r="I831" s="59">
        <v>129</v>
      </c>
      <c r="J831" s="109">
        <f t="shared" ref="J831:J859" si="25">I831*VLOOKUP(H831,Fractional,2,FALSE)</f>
        <v>64.5</v>
      </c>
      <c r="K831" s="172">
        <v>129</v>
      </c>
      <c r="L831" s="142" t="s">
        <v>597</v>
      </c>
      <c r="M831" s="170"/>
    </row>
    <row r="832" spans="1:13">
      <c r="A832" s="2"/>
      <c r="B832" s="61" t="s">
        <v>1386</v>
      </c>
      <c r="C832" s="59">
        <v>104</v>
      </c>
      <c r="D832" s="59">
        <v>16.739999999999998</v>
      </c>
      <c r="E832" s="59">
        <v>3.61</v>
      </c>
      <c r="F832" s="59">
        <v>0</v>
      </c>
      <c r="G832" s="59">
        <v>0</v>
      </c>
      <c r="H832" s="59" t="s">
        <v>1066</v>
      </c>
      <c r="I832" s="59">
        <v>238</v>
      </c>
      <c r="J832" s="109">
        <f t="shared" si="25"/>
        <v>119</v>
      </c>
      <c r="K832" s="172">
        <v>238</v>
      </c>
      <c r="L832" s="142" t="s">
        <v>597</v>
      </c>
      <c r="M832" s="170"/>
    </row>
    <row r="833" spans="1:13">
      <c r="A833" s="2"/>
      <c r="B833" s="61" t="s">
        <v>1073</v>
      </c>
      <c r="C833" s="59">
        <v>197</v>
      </c>
      <c r="D833" s="59">
        <v>16.93</v>
      </c>
      <c r="E833" s="59">
        <v>13.77</v>
      </c>
      <c r="F833" s="59">
        <v>0</v>
      </c>
      <c r="G833" s="59">
        <v>0</v>
      </c>
      <c r="H833" s="59" t="s">
        <v>1066</v>
      </c>
      <c r="I833" s="59">
        <v>184</v>
      </c>
      <c r="J833" s="109">
        <f t="shared" si="25"/>
        <v>92</v>
      </c>
      <c r="K833" s="172">
        <v>184</v>
      </c>
      <c r="L833" s="142" t="s">
        <v>597</v>
      </c>
      <c r="M833" s="170"/>
    </row>
    <row r="834" spans="1:13">
      <c r="A834" s="2"/>
      <c r="B834" s="61" t="s">
        <v>1074</v>
      </c>
      <c r="C834" s="59">
        <v>130</v>
      </c>
      <c r="D834" s="59">
        <v>20.98</v>
      </c>
      <c r="E834" s="59">
        <v>4.51</v>
      </c>
      <c r="F834" s="59">
        <v>0</v>
      </c>
      <c r="G834" s="59">
        <v>0</v>
      </c>
      <c r="H834" s="59" t="s">
        <v>957</v>
      </c>
      <c r="I834" s="59">
        <v>85</v>
      </c>
      <c r="J834" s="110">
        <f t="shared" si="25"/>
        <v>28.05</v>
      </c>
      <c r="K834" s="172">
        <v>28.333333333333332</v>
      </c>
      <c r="L834" s="148" t="s">
        <v>537</v>
      </c>
      <c r="M834" s="170"/>
    </row>
    <row r="835" spans="1:13">
      <c r="A835" s="2"/>
      <c r="B835" s="61" t="s">
        <v>1075</v>
      </c>
      <c r="C835" s="59">
        <v>108</v>
      </c>
      <c r="D835" s="59">
        <v>20.21</v>
      </c>
      <c r="E835" s="59">
        <v>2.41</v>
      </c>
      <c r="F835" s="59">
        <v>0</v>
      </c>
      <c r="G835" s="59">
        <v>0</v>
      </c>
      <c r="H835" s="59" t="s">
        <v>1066</v>
      </c>
      <c r="I835" s="59">
        <v>238</v>
      </c>
      <c r="J835" s="109">
        <f t="shared" si="25"/>
        <v>119</v>
      </c>
      <c r="K835" s="172">
        <v>238</v>
      </c>
      <c r="L835" s="142" t="s">
        <v>597</v>
      </c>
      <c r="M835" s="170"/>
    </row>
    <row r="836" spans="1:13">
      <c r="A836" s="2"/>
      <c r="B836" s="61" t="s">
        <v>1080</v>
      </c>
      <c r="C836" s="59">
        <v>106</v>
      </c>
      <c r="D836" s="59">
        <v>20.309999999999999</v>
      </c>
      <c r="E836" s="59">
        <v>1.73</v>
      </c>
      <c r="F836" s="59">
        <v>0.91</v>
      </c>
      <c r="G836" s="59">
        <v>0</v>
      </c>
      <c r="H836" s="59" t="s">
        <v>985</v>
      </c>
      <c r="I836" s="59">
        <v>6</v>
      </c>
      <c r="J836" s="109">
        <f t="shared" si="25"/>
        <v>3</v>
      </c>
      <c r="K836" s="172">
        <v>6</v>
      </c>
      <c r="L836" s="142" t="s">
        <v>601</v>
      </c>
      <c r="M836" s="170"/>
    </row>
    <row r="837" spans="1:13">
      <c r="A837" s="2"/>
      <c r="B837" s="61" t="s">
        <v>1076</v>
      </c>
      <c r="C837" s="59">
        <v>97</v>
      </c>
      <c r="D837" s="59">
        <v>17.63</v>
      </c>
      <c r="E837" s="59">
        <v>2.42</v>
      </c>
      <c r="F837" s="59">
        <v>0</v>
      </c>
      <c r="G837" s="59">
        <v>0</v>
      </c>
      <c r="H837" s="59" t="s">
        <v>82</v>
      </c>
      <c r="I837" s="59">
        <v>85</v>
      </c>
      <c r="J837" s="110">
        <f t="shared" si="25"/>
        <v>28.05</v>
      </c>
      <c r="K837" s="172">
        <v>28.333333333333332</v>
      </c>
      <c r="L837" s="148" t="s">
        <v>537</v>
      </c>
      <c r="M837" s="170"/>
    </row>
    <row r="838" spans="1:13">
      <c r="A838" s="2"/>
      <c r="B838" s="61" t="s">
        <v>1077</v>
      </c>
      <c r="C838" s="59">
        <v>100</v>
      </c>
      <c r="D838" s="59">
        <v>20.51</v>
      </c>
      <c r="E838" s="59">
        <v>1.34</v>
      </c>
      <c r="F838" s="59">
        <v>0</v>
      </c>
      <c r="G838" s="59">
        <v>0</v>
      </c>
      <c r="H838" s="59" t="s">
        <v>1066</v>
      </c>
      <c r="I838" s="59">
        <v>218</v>
      </c>
      <c r="J838" s="109">
        <f t="shared" si="25"/>
        <v>109</v>
      </c>
      <c r="K838" s="172">
        <v>218</v>
      </c>
      <c r="L838" s="142" t="s">
        <v>597</v>
      </c>
      <c r="M838" s="170"/>
    </row>
    <row r="839" spans="1:13">
      <c r="A839" s="2"/>
      <c r="B839" s="61" t="s">
        <v>1081</v>
      </c>
      <c r="C839" s="59">
        <v>112</v>
      </c>
      <c r="D839" s="59">
        <v>20.6</v>
      </c>
      <c r="E839" s="59">
        <v>1.51</v>
      </c>
      <c r="F839" s="59">
        <v>2.4300000000000002</v>
      </c>
      <c r="G839" s="59">
        <v>0</v>
      </c>
      <c r="H839" s="59" t="s">
        <v>1079</v>
      </c>
      <c r="I839" s="59">
        <v>209</v>
      </c>
      <c r="J839" s="109">
        <f t="shared" si="25"/>
        <v>104.5</v>
      </c>
      <c r="K839" s="172">
        <v>209</v>
      </c>
      <c r="L839" s="142" t="s">
        <v>600</v>
      </c>
      <c r="M839" s="170"/>
    </row>
    <row r="840" spans="1:13">
      <c r="A840" s="2"/>
      <c r="B840" s="61" t="s">
        <v>991</v>
      </c>
      <c r="C840" s="59">
        <v>123</v>
      </c>
      <c r="D840" s="59">
        <v>18.510000000000002</v>
      </c>
      <c r="E840" s="59">
        <v>4.9000000000000004</v>
      </c>
      <c r="F840" s="59">
        <v>0</v>
      </c>
      <c r="G840" s="59">
        <v>0</v>
      </c>
      <c r="H840" s="59" t="s">
        <v>1066</v>
      </c>
      <c r="I840" s="59">
        <v>64</v>
      </c>
      <c r="J840" s="109">
        <f t="shared" si="25"/>
        <v>32</v>
      </c>
      <c r="K840" s="172">
        <v>64</v>
      </c>
      <c r="L840" s="142" t="s">
        <v>597</v>
      </c>
      <c r="M840" s="170"/>
    </row>
    <row r="841" spans="1:13">
      <c r="A841" s="2"/>
      <c r="B841" s="61" t="s">
        <v>1092</v>
      </c>
      <c r="C841" s="59">
        <v>92</v>
      </c>
      <c r="D841" s="59">
        <v>15.58</v>
      </c>
      <c r="E841" s="59">
        <v>1.38</v>
      </c>
      <c r="F841" s="59">
        <v>3.08</v>
      </c>
      <c r="G841" s="59">
        <v>0</v>
      </c>
      <c r="H841" s="59" t="s">
        <v>82</v>
      </c>
      <c r="I841" s="59">
        <v>85</v>
      </c>
      <c r="J841" s="109">
        <f t="shared" si="25"/>
        <v>28.05</v>
      </c>
      <c r="K841" s="172">
        <v>28.333333333333332</v>
      </c>
      <c r="L841" s="148" t="s">
        <v>537</v>
      </c>
      <c r="M841" s="170"/>
    </row>
    <row r="842" spans="1:13">
      <c r="A842" s="2"/>
      <c r="B842" s="61" t="s">
        <v>1387</v>
      </c>
      <c r="C842" s="59">
        <v>105</v>
      </c>
      <c r="D842" s="59">
        <v>16.14</v>
      </c>
      <c r="E842" s="59">
        <v>4.04</v>
      </c>
      <c r="F842" s="59">
        <v>0</v>
      </c>
      <c r="G842" s="59">
        <v>0</v>
      </c>
      <c r="H842" s="59" t="s">
        <v>82</v>
      </c>
      <c r="I842" s="59">
        <v>85</v>
      </c>
      <c r="J842" s="110">
        <f t="shared" si="25"/>
        <v>28.05</v>
      </c>
      <c r="K842" s="172">
        <v>28.333333333333332</v>
      </c>
      <c r="L842" s="148" t="s">
        <v>537</v>
      </c>
      <c r="M842" s="170"/>
    </row>
    <row r="843" spans="1:13">
      <c r="A843" s="2"/>
      <c r="B843" s="61" t="s">
        <v>992</v>
      </c>
      <c r="C843" s="59">
        <v>92</v>
      </c>
      <c r="D843" s="59">
        <v>16.760000000000002</v>
      </c>
      <c r="E843" s="59">
        <v>2.3199999999999998</v>
      </c>
      <c r="F843" s="59">
        <v>0</v>
      </c>
      <c r="G843" s="59">
        <v>0</v>
      </c>
      <c r="H843" s="59" t="s">
        <v>1066</v>
      </c>
      <c r="I843" s="59">
        <v>159</v>
      </c>
      <c r="J843" s="109">
        <f t="shared" si="25"/>
        <v>79.5</v>
      </c>
      <c r="K843" s="172">
        <v>159</v>
      </c>
      <c r="L843" s="142" t="s">
        <v>597</v>
      </c>
      <c r="M843" s="170"/>
    </row>
    <row r="844" spans="1:13">
      <c r="A844" s="2"/>
      <c r="B844" s="61" t="s">
        <v>993</v>
      </c>
      <c r="C844" s="59">
        <v>89</v>
      </c>
      <c r="D844" s="59">
        <v>19.399999999999999</v>
      </c>
      <c r="E844" s="59">
        <v>0.7</v>
      </c>
      <c r="F844" s="59">
        <v>0</v>
      </c>
      <c r="G844" s="59">
        <v>0</v>
      </c>
      <c r="H844" s="59" t="s">
        <v>1066</v>
      </c>
      <c r="I844" s="59">
        <v>48</v>
      </c>
      <c r="J844" s="109">
        <f t="shared" si="25"/>
        <v>24</v>
      </c>
      <c r="K844" s="172">
        <v>48</v>
      </c>
      <c r="L844" s="142" t="s">
        <v>597</v>
      </c>
      <c r="M844" s="170"/>
    </row>
    <row r="845" spans="1:13">
      <c r="A845" s="2"/>
      <c r="B845" s="61" t="s">
        <v>994</v>
      </c>
      <c r="C845" s="59">
        <v>99</v>
      </c>
      <c r="D845" s="59">
        <v>15.18</v>
      </c>
      <c r="E845" s="59">
        <v>0.9</v>
      </c>
      <c r="F845" s="59">
        <v>6.85</v>
      </c>
      <c r="G845" s="59">
        <v>0</v>
      </c>
      <c r="H845" s="59" t="s">
        <v>82</v>
      </c>
      <c r="I845" s="59">
        <v>85</v>
      </c>
      <c r="J845" s="109">
        <f t="shared" si="25"/>
        <v>28.05</v>
      </c>
      <c r="K845" s="172">
        <v>28.333333333333332</v>
      </c>
      <c r="L845" s="148" t="s">
        <v>537</v>
      </c>
      <c r="M845" s="170"/>
    </row>
    <row r="846" spans="1:13">
      <c r="A846" s="2"/>
      <c r="B846" s="61" t="s">
        <v>995</v>
      </c>
      <c r="C846" s="59">
        <v>121</v>
      </c>
      <c r="D846" s="59">
        <v>19.8</v>
      </c>
      <c r="E846" s="59">
        <v>4.01</v>
      </c>
      <c r="F846" s="59">
        <v>0</v>
      </c>
      <c r="G846" s="59">
        <v>0</v>
      </c>
      <c r="H846" s="59" t="s">
        <v>996</v>
      </c>
      <c r="I846" s="59">
        <v>136</v>
      </c>
      <c r="J846" s="109">
        <f t="shared" si="25"/>
        <v>68</v>
      </c>
      <c r="K846" s="172">
        <v>136</v>
      </c>
      <c r="L846" s="142" t="s">
        <v>602</v>
      </c>
      <c r="M846" s="170"/>
    </row>
    <row r="847" spans="1:13">
      <c r="A847" s="2"/>
      <c r="B847" s="61" t="s">
        <v>997</v>
      </c>
      <c r="C847" s="59">
        <v>96</v>
      </c>
      <c r="D847" s="59">
        <v>17.5</v>
      </c>
      <c r="E847" s="59">
        <v>2.31</v>
      </c>
      <c r="F847" s="59">
        <v>0</v>
      </c>
      <c r="G847" s="59">
        <v>0</v>
      </c>
      <c r="H847" s="59" t="s">
        <v>956</v>
      </c>
      <c r="I847" s="59">
        <v>193</v>
      </c>
      <c r="J847" s="109">
        <f t="shared" si="25"/>
        <v>193</v>
      </c>
      <c r="K847" s="172">
        <v>386</v>
      </c>
      <c r="L847" s="142" t="s">
        <v>597</v>
      </c>
      <c r="M847" s="170"/>
    </row>
    <row r="848" spans="1:13">
      <c r="A848" s="2"/>
      <c r="B848" s="61" t="s">
        <v>998</v>
      </c>
      <c r="C848" s="59">
        <v>148</v>
      </c>
      <c r="D848" s="59">
        <v>20.77</v>
      </c>
      <c r="E848" s="59">
        <v>6.61</v>
      </c>
      <c r="F848" s="59">
        <v>0</v>
      </c>
      <c r="G848" s="59">
        <v>0</v>
      </c>
      <c r="H848" s="59" t="s">
        <v>1066</v>
      </c>
      <c r="I848" s="59">
        <v>79</v>
      </c>
      <c r="J848" s="109">
        <f t="shared" si="25"/>
        <v>39.5</v>
      </c>
      <c r="K848" s="172">
        <v>79</v>
      </c>
      <c r="L848" s="142" t="s">
        <v>597</v>
      </c>
      <c r="M848" s="170"/>
    </row>
    <row r="849" spans="1:13">
      <c r="A849" s="2"/>
      <c r="B849" s="61" t="s">
        <v>999</v>
      </c>
      <c r="C849" s="59">
        <v>119</v>
      </c>
      <c r="D849" s="59">
        <v>20.48</v>
      </c>
      <c r="E849" s="59">
        <v>3.46</v>
      </c>
      <c r="F849" s="59">
        <v>0</v>
      </c>
      <c r="G849" s="59">
        <v>0</v>
      </c>
      <c r="H849" s="59" t="s">
        <v>1066</v>
      </c>
      <c r="I849" s="59">
        <v>159</v>
      </c>
      <c r="J849" s="109">
        <f t="shared" si="25"/>
        <v>79.5</v>
      </c>
      <c r="K849" s="172">
        <v>159</v>
      </c>
      <c r="L849" s="142" t="s">
        <v>597</v>
      </c>
      <c r="M849" s="170"/>
    </row>
    <row r="850" spans="1:13">
      <c r="A850" s="2"/>
      <c r="B850" s="61" t="s">
        <v>1000</v>
      </c>
      <c r="C850" s="59">
        <v>144</v>
      </c>
      <c r="D850" s="59">
        <v>23.33</v>
      </c>
      <c r="E850" s="59">
        <v>4.9000000000000004</v>
      </c>
      <c r="F850" s="59">
        <v>0</v>
      </c>
      <c r="G850" s="59">
        <v>0</v>
      </c>
      <c r="H850" s="59" t="s">
        <v>82</v>
      </c>
      <c r="I850" s="59">
        <v>85</v>
      </c>
      <c r="J850" s="110">
        <f t="shared" si="25"/>
        <v>28.05</v>
      </c>
      <c r="K850" s="172">
        <v>28.333333333333332</v>
      </c>
      <c r="L850" s="148" t="s">
        <v>537</v>
      </c>
      <c r="M850" s="170"/>
    </row>
    <row r="851" spans="1:13">
      <c r="A851" s="2"/>
      <c r="B851" s="61" t="s">
        <v>1002</v>
      </c>
      <c r="C851" s="59">
        <v>103</v>
      </c>
      <c r="D851" s="59">
        <v>22</v>
      </c>
      <c r="E851" s="59">
        <v>1.01</v>
      </c>
      <c r="F851" s="59">
        <v>0</v>
      </c>
      <c r="G851" s="59">
        <v>0</v>
      </c>
      <c r="H851" s="59" t="s">
        <v>956</v>
      </c>
      <c r="I851" s="59">
        <v>198</v>
      </c>
      <c r="J851" s="109">
        <f t="shared" si="25"/>
        <v>198</v>
      </c>
      <c r="K851" s="172">
        <v>396</v>
      </c>
      <c r="L851" s="142" t="s">
        <v>597</v>
      </c>
      <c r="M851" s="170"/>
    </row>
    <row r="852" spans="1:13">
      <c r="A852" s="2"/>
      <c r="B852" s="61" t="s">
        <v>1388</v>
      </c>
      <c r="C852" s="59">
        <v>198</v>
      </c>
      <c r="D852" s="59">
        <v>29.13</v>
      </c>
      <c r="E852" s="59">
        <v>8.2100000000000009</v>
      </c>
      <c r="F852" s="59">
        <v>0</v>
      </c>
      <c r="G852" s="59">
        <v>0</v>
      </c>
      <c r="H852" s="59" t="s">
        <v>1001</v>
      </c>
      <c r="I852" s="59">
        <v>146</v>
      </c>
      <c r="J852" s="109">
        <f t="shared" si="25"/>
        <v>18.25</v>
      </c>
      <c r="K852" s="172">
        <v>146</v>
      </c>
      <c r="L852" s="142" t="s">
        <v>512</v>
      </c>
      <c r="M852" s="170"/>
    </row>
    <row r="853" spans="1:13">
      <c r="A853" s="2"/>
      <c r="B853" s="61" t="s">
        <v>1003</v>
      </c>
      <c r="C853" s="59">
        <v>95</v>
      </c>
      <c r="D853" s="59">
        <v>16.05</v>
      </c>
      <c r="E853" s="59">
        <v>2.95</v>
      </c>
      <c r="F853" s="59">
        <v>0</v>
      </c>
      <c r="G853" s="59">
        <v>0</v>
      </c>
      <c r="H853" s="59" t="s">
        <v>956</v>
      </c>
      <c r="I853" s="59">
        <v>204</v>
      </c>
      <c r="J853" s="109">
        <f t="shared" si="25"/>
        <v>204</v>
      </c>
      <c r="K853" s="172">
        <v>408</v>
      </c>
      <c r="L853" s="142" t="s">
        <v>597</v>
      </c>
      <c r="M853" s="170"/>
    </row>
    <row r="854" spans="1:13">
      <c r="A854" s="2"/>
      <c r="B854" s="61" t="s">
        <v>1093</v>
      </c>
      <c r="C854" s="59">
        <v>137</v>
      </c>
      <c r="D854" s="59">
        <v>23.84</v>
      </c>
      <c r="E854" s="59">
        <v>0.4</v>
      </c>
      <c r="F854" s="59">
        <v>7.76</v>
      </c>
      <c r="G854" s="59">
        <v>0</v>
      </c>
      <c r="H854" s="59" t="s">
        <v>82</v>
      </c>
      <c r="I854" s="59">
        <v>85</v>
      </c>
      <c r="J854" s="110">
        <f t="shared" si="25"/>
        <v>28.05</v>
      </c>
      <c r="K854" s="172">
        <v>28.333333333333332</v>
      </c>
      <c r="L854" s="148" t="s">
        <v>537</v>
      </c>
      <c r="M854" s="170"/>
    </row>
    <row r="855" spans="1:13">
      <c r="A855" s="2"/>
      <c r="B855" s="61" t="s">
        <v>1004</v>
      </c>
      <c r="C855" s="59">
        <v>134</v>
      </c>
      <c r="D855" s="59">
        <v>19.09</v>
      </c>
      <c r="E855" s="59">
        <v>5.86</v>
      </c>
      <c r="F855" s="59">
        <v>0</v>
      </c>
      <c r="G855" s="59">
        <v>0</v>
      </c>
      <c r="H855" s="59" t="s">
        <v>1066</v>
      </c>
      <c r="I855" s="59">
        <v>198</v>
      </c>
      <c r="J855" s="109">
        <f t="shared" si="25"/>
        <v>99</v>
      </c>
      <c r="K855" s="172">
        <v>198</v>
      </c>
      <c r="L855" s="142" t="s">
        <v>597</v>
      </c>
      <c r="M855" s="170"/>
    </row>
    <row r="856" spans="1:13">
      <c r="A856" s="2"/>
      <c r="B856" s="61" t="s">
        <v>1005</v>
      </c>
      <c r="C856" s="59">
        <v>108</v>
      </c>
      <c r="D856" s="59">
        <v>23.4</v>
      </c>
      <c r="E856" s="59">
        <v>0.93</v>
      </c>
      <c r="F856" s="59">
        <v>0</v>
      </c>
      <c r="G856" s="59">
        <v>0</v>
      </c>
      <c r="H856" s="59" t="s">
        <v>155</v>
      </c>
      <c r="I856" s="59">
        <v>136</v>
      </c>
      <c r="J856" s="109">
        <f t="shared" si="25"/>
        <v>17</v>
      </c>
      <c r="K856" s="172">
        <v>136</v>
      </c>
      <c r="L856" s="142" t="s">
        <v>512</v>
      </c>
      <c r="M856" s="170"/>
    </row>
    <row r="857" spans="1:13">
      <c r="A857" s="2"/>
      <c r="B857" s="61" t="s">
        <v>1006</v>
      </c>
      <c r="C857" s="59">
        <v>90</v>
      </c>
      <c r="D857" s="59">
        <v>18.309999999999999</v>
      </c>
      <c r="E857" s="59">
        <v>1.31</v>
      </c>
      <c r="F857" s="59">
        <v>0</v>
      </c>
      <c r="G857" s="59">
        <v>0</v>
      </c>
      <c r="H857" s="59" t="s">
        <v>1066</v>
      </c>
      <c r="I857" s="59">
        <v>92</v>
      </c>
      <c r="J857" s="109">
        <f t="shared" si="25"/>
        <v>46</v>
      </c>
      <c r="K857" s="172">
        <v>92</v>
      </c>
      <c r="L857" s="142" t="s">
        <v>597</v>
      </c>
      <c r="M857" s="170"/>
    </row>
    <row r="858" spans="1:13">
      <c r="A858" s="2"/>
      <c r="B858" s="61" t="s">
        <v>1007</v>
      </c>
      <c r="C858" s="59">
        <v>96</v>
      </c>
      <c r="D858" s="59">
        <v>17.5</v>
      </c>
      <c r="E858" s="59">
        <v>2.39</v>
      </c>
      <c r="F858" s="59">
        <v>0</v>
      </c>
      <c r="G858" s="59">
        <v>0</v>
      </c>
      <c r="H858" s="59" t="s">
        <v>956</v>
      </c>
      <c r="I858" s="59">
        <v>153</v>
      </c>
      <c r="J858" s="109">
        <f t="shared" si="25"/>
        <v>153</v>
      </c>
      <c r="K858" s="172">
        <v>306</v>
      </c>
      <c r="L858" s="142" t="s">
        <v>597</v>
      </c>
      <c r="M858" s="170"/>
    </row>
    <row r="859" spans="1:13" ht="13.5" thickBot="1">
      <c r="A859" s="2"/>
      <c r="B859" s="63" t="s">
        <v>1008</v>
      </c>
      <c r="C859" s="64">
        <v>146</v>
      </c>
      <c r="D859" s="64">
        <v>23.14</v>
      </c>
      <c r="E859" s="64">
        <v>5.24</v>
      </c>
      <c r="F859" s="64">
        <v>0</v>
      </c>
      <c r="G859" s="64">
        <v>0</v>
      </c>
      <c r="H859" s="64" t="s">
        <v>956</v>
      </c>
      <c r="I859" s="64">
        <v>187</v>
      </c>
      <c r="J859" s="111">
        <f t="shared" si="25"/>
        <v>187</v>
      </c>
      <c r="K859" s="173">
        <v>374</v>
      </c>
      <c r="L859" s="144" t="s">
        <v>597</v>
      </c>
      <c r="M859" s="170"/>
    </row>
    <row r="860" spans="1:13" ht="14.25" thickTop="1" thickBot="1">
      <c r="M860" s="170"/>
    </row>
    <row r="861" spans="1:13" ht="18.75" thickTop="1">
      <c r="B861" s="66" t="s">
        <v>1259</v>
      </c>
      <c r="C861" s="67" t="s">
        <v>1474</v>
      </c>
      <c r="D861" s="68" t="s">
        <v>99</v>
      </c>
      <c r="E861" s="67" t="s">
        <v>1475</v>
      </c>
      <c r="F861" s="67" t="s">
        <v>1476</v>
      </c>
      <c r="G861" s="67" t="s">
        <v>1477</v>
      </c>
      <c r="H861" s="68" t="s">
        <v>918</v>
      </c>
      <c r="I861" s="68" t="s">
        <v>919</v>
      </c>
      <c r="J861" s="67" t="s">
        <v>467</v>
      </c>
      <c r="K861" s="67" t="s">
        <v>203</v>
      </c>
      <c r="L861" s="69"/>
      <c r="M861" s="170"/>
    </row>
    <row r="862" spans="1:13">
      <c r="A862" s="2"/>
      <c r="B862" s="61" t="s">
        <v>849</v>
      </c>
      <c r="C862" s="59">
        <v>109</v>
      </c>
      <c r="D862" s="59">
        <v>20.95</v>
      </c>
      <c r="E862" s="59">
        <v>2.17</v>
      </c>
      <c r="F862" s="59">
        <v>0</v>
      </c>
      <c r="G862" s="59">
        <v>0</v>
      </c>
      <c r="H862" s="101" t="s">
        <v>82</v>
      </c>
      <c r="I862" s="101">
        <v>85</v>
      </c>
      <c r="J862" s="110">
        <f t="shared" ref="J862:J886" si="26">I862*VLOOKUP(H862,Fractional,2,FALSE)</f>
        <v>28.05</v>
      </c>
      <c r="K862" s="171">
        <v>28.333333333333332</v>
      </c>
      <c r="L862" s="176" t="s">
        <v>537</v>
      </c>
      <c r="M862" s="170"/>
    </row>
    <row r="863" spans="1:13">
      <c r="A863" s="2"/>
      <c r="B863" s="61" t="s">
        <v>850</v>
      </c>
      <c r="C863" s="59">
        <v>157</v>
      </c>
      <c r="D863" s="59">
        <v>20.64</v>
      </c>
      <c r="E863" s="59">
        <v>6.97</v>
      </c>
      <c r="F863" s="59">
        <v>1.68</v>
      </c>
      <c r="G863" s="59">
        <v>0</v>
      </c>
      <c r="H863" s="59" t="s">
        <v>1435</v>
      </c>
      <c r="I863" s="59">
        <v>170</v>
      </c>
      <c r="J863" s="109">
        <f t="shared" si="26"/>
        <v>85</v>
      </c>
      <c r="K863" s="172">
        <v>28.333333333333332</v>
      </c>
      <c r="L863" s="148" t="s">
        <v>537</v>
      </c>
      <c r="M863" s="170"/>
    </row>
    <row r="864" spans="1:13">
      <c r="A864" s="2"/>
      <c r="B864" s="61" t="s">
        <v>851</v>
      </c>
      <c r="C864" s="59">
        <v>121</v>
      </c>
      <c r="D864" s="59">
        <v>21.41</v>
      </c>
      <c r="E864" s="59">
        <v>3.56</v>
      </c>
      <c r="F864" s="59">
        <v>0.87</v>
      </c>
      <c r="G864" s="59">
        <v>0</v>
      </c>
      <c r="H864" s="59" t="s">
        <v>958</v>
      </c>
      <c r="I864" s="59">
        <v>85</v>
      </c>
      <c r="J864" s="109">
        <f t="shared" si="26"/>
        <v>42.5</v>
      </c>
      <c r="K864" s="172">
        <v>28.333333333333332</v>
      </c>
      <c r="L864" s="148" t="s">
        <v>537</v>
      </c>
      <c r="M864" s="170"/>
    </row>
    <row r="865" spans="1:13">
      <c r="A865" s="2"/>
      <c r="B865" s="61" t="s">
        <v>852</v>
      </c>
      <c r="C865" s="59">
        <v>127</v>
      </c>
      <c r="D865" s="59">
        <v>21.99</v>
      </c>
      <c r="E865" s="59">
        <v>3.71</v>
      </c>
      <c r="F865" s="59">
        <v>0</v>
      </c>
      <c r="G865" s="59">
        <v>0</v>
      </c>
      <c r="H865" s="59" t="s">
        <v>313</v>
      </c>
      <c r="I865" s="59">
        <v>178</v>
      </c>
      <c r="J865" s="109">
        <f t="shared" si="26"/>
        <v>89</v>
      </c>
      <c r="K865" s="172">
        <v>178</v>
      </c>
      <c r="L865" s="142" t="s">
        <v>603</v>
      </c>
      <c r="M865" s="170"/>
    </row>
    <row r="866" spans="1:13">
      <c r="A866" s="2"/>
      <c r="B866" s="61" t="s">
        <v>853</v>
      </c>
      <c r="C866" s="59">
        <v>127</v>
      </c>
      <c r="D866" s="59">
        <v>22.41</v>
      </c>
      <c r="E866" s="59">
        <v>3.42</v>
      </c>
      <c r="F866" s="59">
        <v>0</v>
      </c>
      <c r="G866" s="59">
        <v>0</v>
      </c>
      <c r="H866" s="59" t="s">
        <v>313</v>
      </c>
      <c r="I866" s="59">
        <v>185</v>
      </c>
      <c r="J866" s="109">
        <f t="shared" si="26"/>
        <v>92.5</v>
      </c>
      <c r="K866" s="172">
        <v>185</v>
      </c>
      <c r="L866" s="142" t="s">
        <v>603</v>
      </c>
      <c r="M866" s="170"/>
    </row>
    <row r="867" spans="1:13">
      <c r="A867" s="2"/>
      <c r="B867" s="61" t="s">
        <v>854</v>
      </c>
      <c r="C867" s="59">
        <v>282</v>
      </c>
      <c r="D867" s="59">
        <v>16.12</v>
      </c>
      <c r="E867" s="59">
        <v>23.58</v>
      </c>
      <c r="F867" s="59">
        <v>0</v>
      </c>
      <c r="G867" s="59">
        <v>0</v>
      </c>
      <c r="H867" s="59" t="s">
        <v>82</v>
      </c>
      <c r="I867" s="59">
        <v>85</v>
      </c>
      <c r="J867" s="109">
        <f t="shared" si="26"/>
        <v>28.05</v>
      </c>
      <c r="K867" s="172">
        <v>28.333333333333332</v>
      </c>
      <c r="L867" s="148" t="s">
        <v>537</v>
      </c>
      <c r="M867" s="170"/>
    </row>
    <row r="868" spans="1:13">
      <c r="A868" s="2"/>
      <c r="B868" s="61" t="s">
        <v>869</v>
      </c>
      <c r="C868" s="59">
        <v>166</v>
      </c>
      <c r="D868" s="59">
        <v>21.34</v>
      </c>
      <c r="E868" s="59">
        <v>8.33</v>
      </c>
      <c r="F868" s="59">
        <v>0</v>
      </c>
      <c r="G868" s="59">
        <v>0</v>
      </c>
      <c r="H868" s="59" t="s">
        <v>82</v>
      </c>
      <c r="I868" s="59">
        <v>85</v>
      </c>
      <c r="J868" s="109">
        <f t="shared" si="26"/>
        <v>28.05</v>
      </c>
      <c r="K868" s="172">
        <v>28.333333333333332</v>
      </c>
      <c r="L868" s="148" t="s">
        <v>537</v>
      </c>
      <c r="M868" s="170"/>
    </row>
    <row r="869" spans="1:13">
      <c r="A869" s="2"/>
      <c r="B869" s="61" t="s">
        <v>110</v>
      </c>
      <c r="C869" s="59">
        <v>458</v>
      </c>
      <c r="D869" s="59">
        <v>11.6</v>
      </c>
      <c r="E869" s="59">
        <v>45.04</v>
      </c>
      <c r="F869" s="59">
        <v>0.66</v>
      </c>
      <c r="G869" s="59">
        <v>0</v>
      </c>
      <c r="H869" s="59" t="s">
        <v>82</v>
      </c>
      <c r="I869" s="59">
        <v>85</v>
      </c>
      <c r="J869" s="110">
        <f t="shared" si="26"/>
        <v>28.05</v>
      </c>
      <c r="K869" s="172">
        <v>28.333333333333332</v>
      </c>
      <c r="L869" s="148" t="s">
        <v>537</v>
      </c>
      <c r="M869" s="170"/>
    </row>
    <row r="870" spans="1:13">
      <c r="A870" s="2"/>
      <c r="B870" s="61" t="s">
        <v>111</v>
      </c>
      <c r="C870" s="59">
        <v>140</v>
      </c>
      <c r="D870" s="59">
        <v>11.63</v>
      </c>
      <c r="E870" s="59">
        <v>10.02</v>
      </c>
      <c r="F870" s="59">
        <v>0.01</v>
      </c>
      <c r="G870" s="59">
        <v>0</v>
      </c>
      <c r="H870" s="59" t="s">
        <v>82</v>
      </c>
      <c r="I870" s="59">
        <v>85</v>
      </c>
      <c r="J870" s="109">
        <f t="shared" si="26"/>
        <v>28.05</v>
      </c>
      <c r="K870" s="172">
        <v>28.333333333333332</v>
      </c>
      <c r="L870" s="148" t="s">
        <v>537</v>
      </c>
      <c r="M870" s="170"/>
    </row>
    <row r="871" spans="1:13">
      <c r="A871" s="2"/>
      <c r="B871" s="61" t="s">
        <v>856</v>
      </c>
      <c r="C871" s="59">
        <v>507</v>
      </c>
      <c r="D871" s="59">
        <v>8.77</v>
      </c>
      <c r="E871" s="59">
        <v>51.57</v>
      </c>
      <c r="F871" s="59">
        <v>2</v>
      </c>
      <c r="G871" s="59">
        <v>0</v>
      </c>
      <c r="H871" s="59" t="s">
        <v>82</v>
      </c>
      <c r="I871" s="59">
        <v>85</v>
      </c>
      <c r="J871" s="110">
        <f t="shared" si="26"/>
        <v>28.05</v>
      </c>
      <c r="K871" s="172">
        <v>28.333333333333332</v>
      </c>
      <c r="L871" s="148" t="s">
        <v>537</v>
      </c>
      <c r="M871" s="170"/>
    </row>
    <row r="872" spans="1:13">
      <c r="A872" s="2"/>
      <c r="B872" s="61" t="s">
        <v>855</v>
      </c>
      <c r="C872" s="59">
        <v>195</v>
      </c>
      <c r="D872" s="59">
        <v>27.8</v>
      </c>
      <c r="E872" s="59">
        <v>8.32</v>
      </c>
      <c r="F872" s="59">
        <v>0.3</v>
      </c>
      <c r="G872" s="59">
        <v>0</v>
      </c>
      <c r="H872" s="59" t="s">
        <v>82</v>
      </c>
      <c r="I872" s="59">
        <v>85</v>
      </c>
      <c r="J872" s="109">
        <f t="shared" si="26"/>
        <v>28.05</v>
      </c>
      <c r="K872" s="172">
        <v>28.333333333333332</v>
      </c>
      <c r="L872" s="148" t="s">
        <v>537</v>
      </c>
      <c r="M872" s="170"/>
    </row>
    <row r="873" spans="1:13">
      <c r="A873" s="2"/>
      <c r="B873" s="61" t="s">
        <v>112</v>
      </c>
      <c r="C873" s="59">
        <v>748</v>
      </c>
      <c r="D873" s="59">
        <v>5.05</v>
      </c>
      <c r="E873" s="59">
        <v>80.5</v>
      </c>
      <c r="F873" s="59">
        <v>0</v>
      </c>
      <c r="G873" s="59">
        <v>0</v>
      </c>
      <c r="H873" s="59" t="s">
        <v>113</v>
      </c>
      <c r="I873" s="59">
        <v>227</v>
      </c>
      <c r="J873" s="109">
        <f t="shared" si="26"/>
        <v>113.5</v>
      </c>
      <c r="K873" s="172">
        <v>28.375</v>
      </c>
      <c r="L873" s="148" t="s">
        <v>537</v>
      </c>
      <c r="M873" s="170"/>
    </row>
    <row r="874" spans="1:13">
      <c r="A874" s="2"/>
      <c r="B874" s="61" t="s">
        <v>314</v>
      </c>
      <c r="C874" s="59">
        <v>263</v>
      </c>
      <c r="D874" s="59">
        <v>16.88</v>
      </c>
      <c r="E874" s="59">
        <v>21.19</v>
      </c>
      <c r="F874" s="59">
        <v>0</v>
      </c>
      <c r="G874" s="59">
        <v>0</v>
      </c>
      <c r="H874" s="59" t="s">
        <v>1424</v>
      </c>
      <c r="I874" s="59">
        <v>113</v>
      </c>
      <c r="J874" s="109">
        <f t="shared" si="26"/>
        <v>56.5</v>
      </c>
      <c r="K874" s="172">
        <v>28.25</v>
      </c>
      <c r="L874" s="148" t="s">
        <v>537</v>
      </c>
      <c r="M874" s="170"/>
    </row>
    <row r="875" spans="1:13">
      <c r="A875" s="2"/>
      <c r="B875" s="61" t="s">
        <v>857</v>
      </c>
      <c r="C875" s="59">
        <v>222</v>
      </c>
      <c r="D875" s="59">
        <v>18.739999999999998</v>
      </c>
      <c r="E875" s="59">
        <v>15.69</v>
      </c>
      <c r="F875" s="59">
        <v>0</v>
      </c>
      <c r="G875" s="59">
        <v>0</v>
      </c>
      <c r="H875" s="59" t="s">
        <v>82</v>
      </c>
      <c r="I875" s="59">
        <v>85</v>
      </c>
      <c r="J875" s="109">
        <f t="shared" si="26"/>
        <v>28.05</v>
      </c>
      <c r="K875" s="172">
        <v>28.333333333333332</v>
      </c>
      <c r="L875" s="148" t="s">
        <v>537</v>
      </c>
      <c r="M875" s="170"/>
    </row>
    <row r="876" spans="1:13">
      <c r="A876" s="2"/>
      <c r="B876" s="61" t="s">
        <v>858</v>
      </c>
      <c r="C876" s="59">
        <v>263</v>
      </c>
      <c r="D876" s="59">
        <v>17.079999999999998</v>
      </c>
      <c r="E876" s="59">
        <v>21.02</v>
      </c>
      <c r="F876" s="59">
        <v>0</v>
      </c>
      <c r="G876" s="59">
        <v>0</v>
      </c>
      <c r="H876" s="59" t="s">
        <v>82</v>
      </c>
      <c r="I876" s="59">
        <v>85</v>
      </c>
      <c r="J876" s="109">
        <f t="shared" si="26"/>
        <v>28.05</v>
      </c>
      <c r="K876" s="172">
        <v>28.333333333333332</v>
      </c>
      <c r="L876" s="148" t="s">
        <v>537</v>
      </c>
      <c r="M876" s="170"/>
    </row>
    <row r="877" spans="1:13">
      <c r="A877" s="2"/>
      <c r="B877" s="61" t="s">
        <v>859</v>
      </c>
      <c r="C877" s="59">
        <v>245</v>
      </c>
      <c r="D877" s="59">
        <v>17.43</v>
      </c>
      <c r="E877" s="59">
        <v>18.87</v>
      </c>
      <c r="F877" s="59">
        <v>0</v>
      </c>
      <c r="G877" s="59">
        <v>0</v>
      </c>
      <c r="H877" s="59" t="s">
        <v>82</v>
      </c>
      <c r="I877" s="59">
        <v>85</v>
      </c>
      <c r="J877" s="109">
        <f t="shared" si="26"/>
        <v>28.05</v>
      </c>
      <c r="K877" s="172">
        <v>28.333333333333332</v>
      </c>
      <c r="L877" s="148" t="s">
        <v>537</v>
      </c>
      <c r="M877" s="170"/>
    </row>
    <row r="878" spans="1:13">
      <c r="A878" s="2"/>
      <c r="B878" s="61" t="s">
        <v>860</v>
      </c>
      <c r="C878" s="59">
        <v>285</v>
      </c>
      <c r="D878" s="59">
        <v>15.82</v>
      </c>
      <c r="E878" s="59">
        <v>24.12</v>
      </c>
      <c r="F878" s="59">
        <v>0</v>
      </c>
      <c r="G878" s="59">
        <v>0</v>
      </c>
      <c r="H878" s="59" t="s">
        <v>82</v>
      </c>
      <c r="I878" s="59">
        <v>85</v>
      </c>
      <c r="J878" s="109">
        <f t="shared" si="26"/>
        <v>28.05</v>
      </c>
      <c r="K878" s="172">
        <v>28.333333333333332</v>
      </c>
      <c r="L878" s="148" t="s">
        <v>537</v>
      </c>
      <c r="M878" s="170"/>
    </row>
    <row r="879" spans="1:13">
      <c r="A879" s="2"/>
      <c r="B879" s="61" t="s">
        <v>861</v>
      </c>
      <c r="C879" s="59">
        <v>170</v>
      </c>
      <c r="D879" s="59">
        <v>20.71</v>
      </c>
      <c r="E879" s="59">
        <v>9.0299999999999994</v>
      </c>
      <c r="F879" s="59">
        <v>0</v>
      </c>
      <c r="G879" s="59">
        <v>0</v>
      </c>
      <c r="H879" s="59" t="s">
        <v>313</v>
      </c>
      <c r="I879" s="59">
        <v>198</v>
      </c>
      <c r="J879" s="109">
        <f t="shared" si="26"/>
        <v>99</v>
      </c>
      <c r="K879" s="172">
        <v>198</v>
      </c>
      <c r="L879" s="142" t="s">
        <v>603</v>
      </c>
      <c r="M879" s="170"/>
    </row>
    <row r="880" spans="1:13">
      <c r="A880" s="2"/>
      <c r="B880" s="61" t="s">
        <v>862</v>
      </c>
      <c r="C880" s="59">
        <v>198</v>
      </c>
      <c r="D880" s="59">
        <v>19.739999999999998</v>
      </c>
      <c r="E880" s="59">
        <v>12.58</v>
      </c>
      <c r="F880" s="59">
        <v>0</v>
      </c>
      <c r="G880" s="59">
        <v>0</v>
      </c>
      <c r="H880" s="59" t="s">
        <v>313</v>
      </c>
      <c r="I880" s="59">
        <v>117</v>
      </c>
      <c r="J880" s="109">
        <f t="shared" si="26"/>
        <v>58.5</v>
      </c>
      <c r="K880" s="172">
        <v>117</v>
      </c>
      <c r="L880" s="142" t="s">
        <v>603</v>
      </c>
      <c r="M880" s="170"/>
    </row>
    <row r="881" spans="1:13">
      <c r="A881" s="2"/>
      <c r="B881" s="61" t="s">
        <v>863</v>
      </c>
      <c r="C881" s="59">
        <v>186</v>
      </c>
      <c r="D881" s="59">
        <v>17.420000000000002</v>
      </c>
      <c r="E881" s="59">
        <v>12.36</v>
      </c>
      <c r="F881" s="59">
        <v>0</v>
      </c>
      <c r="G881" s="59">
        <v>0</v>
      </c>
      <c r="H881" s="59" t="s">
        <v>85</v>
      </c>
      <c r="I881" s="59">
        <v>288</v>
      </c>
      <c r="J881" s="109">
        <f t="shared" si="26"/>
        <v>144</v>
      </c>
      <c r="K881" s="172">
        <v>288</v>
      </c>
      <c r="L881" s="142" t="s">
        <v>604</v>
      </c>
      <c r="M881" s="170"/>
    </row>
    <row r="882" spans="1:13">
      <c r="A882" s="2"/>
      <c r="B882" s="61" t="s">
        <v>864</v>
      </c>
      <c r="C882" s="59">
        <v>236</v>
      </c>
      <c r="D882" s="59">
        <v>17.18</v>
      </c>
      <c r="E882" s="59">
        <v>17.989999999999998</v>
      </c>
      <c r="F882" s="59">
        <v>0</v>
      </c>
      <c r="G882" s="59">
        <v>0</v>
      </c>
      <c r="H882" s="59" t="s">
        <v>82</v>
      </c>
      <c r="I882" s="59">
        <v>85</v>
      </c>
      <c r="J882" s="109">
        <f t="shared" si="26"/>
        <v>28.05</v>
      </c>
      <c r="K882" s="172">
        <v>28.333333333333332</v>
      </c>
      <c r="L882" s="148" t="s">
        <v>537</v>
      </c>
      <c r="M882" s="170"/>
    </row>
    <row r="883" spans="1:13">
      <c r="A883" s="2"/>
      <c r="B883" s="61" t="s">
        <v>865</v>
      </c>
      <c r="C883" s="59">
        <v>277</v>
      </c>
      <c r="D883" s="59">
        <v>15.47</v>
      </c>
      <c r="E883" s="59">
        <v>23.4</v>
      </c>
      <c r="F883" s="59">
        <v>0</v>
      </c>
      <c r="G883" s="59">
        <v>0</v>
      </c>
      <c r="H883" s="59" t="s">
        <v>82</v>
      </c>
      <c r="I883" s="59">
        <v>85</v>
      </c>
      <c r="J883" s="109">
        <f t="shared" si="26"/>
        <v>28.05</v>
      </c>
      <c r="K883" s="172">
        <v>28.333333333333332</v>
      </c>
      <c r="L883" s="148" t="s">
        <v>537</v>
      </c>
      <c r="M883" s="170"/>
    </row>
    <row r="884" spans="1:13">
      <c r="A884" s="2"/>
      <c r="B884" s="61" t="s">
        <v>867</v>
      </c>
      <c r="C884" s="59">
        <v>189</v>
      </c>
      <c r="D884" s="59">
        <v>19.34</v>
      </c>
      <c r="E884" s="59">
        <v>11.82</v>
      </c>
      <c r="F884" s="59">
        <v>0</v>
      </c>
      <c r="G884" s="59">
        <v>0</v>
      </c>
      <c r="H884" s="59" t="s">
        <v>959</v>
      </c>
      <c r="I884" s="59">
        <v>127</v>
      </c>
      <c r="J884" s="109">
        <f t="shared" si="26"/>
        <v>63.5</v>
      </c>
      <c r="K884" s="172">
        <v>127</v>
      </c>
      <c r="L884" s="142" t="s">
        <v>605</v>
      </c>
      <c r="M884" s="170"/>
    </row>
    <row r="885" spans="1:13">
      <c r="A885" s="2"/>
      <c r="B885" s="61" t="s">
        <v>866</v>
      </c>
      <c r="C885" s="59">
        <v>211</v>
      </c>
      <c r="D885" s="59">
        <v>19.899999999999999</v>
      </c>
      <c r="E885" s="59">
        <v>14.01</v>
      </c>
      <c r="F885" s="59">
        <v>0</v>
      </c>
      <c r="G885" s="59">
        <v>0</v>
      </c>
      <c r="H885" s="59" t="s">
        <v>313</v>
      </c>
      <c r="I885" s="59">
        <v>101</v>
      </c>
      <c r="J885" s="109">
        <f t="shared" si="26"/>
        <v>50.5</v>
      </c>
      <c r="K885" s="172">
        <v>101</v>
      </c>
      <c r="L885" s="142" t="s">
        <v>603</v>
      </c>
      <c r="M885" s="170"/>
    </row>
    <row r="886" spans="1:13" ht="13.5" thickBot="1">
      <c r="A886" s="2"/>
      <c r="B886" s="63" t="s">
        <v>868</v>
      </c>
      <c r="C886" s="64">
        <v>145</v>
      </c>
      <c r="D886" s="64">
        <v>20.57</v>
      </c>
      <c r="E886" s="64">
        <v>6.31</v>
      </c>
      <c r="F886" s="64">
        <v>0</v>
      </c>
      <c r="G886" s="64">
        <v>0</v>
      </c>
      <c r="H886" s="64" t="s">
        <v>313</v>
      </c>
      <c r="I886" s="64">
        <v>104</v>
      </c>
      <c r="J886" s="111">
        <f t="shared" si="26"/>
        <v>52</v>
      </c>
      <c r="K886" s="173">
        <v>104</v>
      </c>
      <c r="L886" s="144" t="s">
        <v>603</v>
      </c>
      <c r="M886" s="170"/>
    </row>
    <row r="887" spans="1:13" ht="14.25" thickTop="1" thickBot="1">
      <c r="M887" s="170"/>
    </row>
    <row r="888" spans="1:13" ht="18.75" thickTop="1">
      <c r="B888" s="66" t="s">
        <v>40</v>
      </c>
      <c r="C888" s="67" t="s">
        <v>1474</v>
      </c>
      <c r="D888" s="68" t="s">
        <v>99</v>
      </c>
      <c r="E888" s="67" t="s">
        <v>1475</v>
      </c>
      <c r="F888" s="67" t="s">
        <v>1476</v>
      </c>
      <c r="G888" s="67" t="s">
        <v>1477</v>
      </c>
      <c r="H888" s="68" t="s">
        <v>918</v>
      </c>
      <c r="I888" s="68" t="s">
        <v>919</v>
      </c>
      <c r="J888" s="67" t="s">
        <v>467</v>
      </c>
      <c r="K888" s="67" t="s">
        <v>203</v>
      </c>
      <c r="L888" s="69"/>
      <c r="M888" s="170"/>
    </row>
    <row r="889" spans="1:13">
      <c r="A889" s="2"/>
      <c r="B889" s="61" t="s">
        <v>263</v>
      </c>
      <c r="C889" s="59">
        <v>520</v>
      </c>
      <c r="D889" s="59">
        <v>5.19</v>
      </c>
      <c r="E889" s="59">
        <v>32.450000000000003</v>
      </c>
      <c r="F889" s="59">
        <v>59.4</v>
      </c>
      <c r="G889" s="59">
        <v>7.6</v>
      </c>
      <c r="H889" s="101" t="s">
        <v>1246</v>
      </c>
      <c r="I889" s="101">
        <v>37</v>
      </c>
      <c r="J889" s="109">
        <f t="shared" ref="J889:J920" si="27">I889*VLOOKUP(H889,Fractional,2,FALSE)</f>
        <v>18.5</v>
      </c>
      <c r="K889" s="171">
        <v>37</v>
      </c>
      <c r="L889" s="143" t="s">
        <v>606</v>
      </c>
      <c r="M889" s="170"/>
    </row>
    <row r="890" spans="1:13">
      <c r="A890" s="2"/>
      <c r="B890" s="61" t="s">
        <v>264</v>
      </c>
      <c r="C890" s="59">
        <v>531</v>
      </c>
      <c r="D890" s="59">
        <v>5.54</v>
      </c>
      <c r="E890" s="59">
        <v>32.4</v>
      </c>
      <c r="F890" s="59">
        <v>59.41</v>
      </c>
      <c r="G890" s="59">
        <v>6.5</v>
      </c>
      <c r="H890" s="59" t="s">
        <v>1226</v>
      </c>
      <c r="I890" s="59">
        <v>41</v>
      </c>
      <c r="J890" s="109">
        <f t="shared" si="27"/>
        <v>20.5</v>
      </c>
      <c r="K890" s="172">
        <v>41</v>
      </c>
      <c r="L890" s="142" t="s">
        <v>607</v>
      </c>
      <c r="M890" s="170"/>
    </row>
    <row r="891" spans="1:13">
      <c r="A891" s="2"/>
      <c r="B891" s="61" t="s">
        <v>265</v>
      </c>
      <c r="C891" s="59">
        <v>389</v>
      </c>
      <c r="D891" s="59">
        <v>11.6</v>
      </c>
      <c r="E891" s="59">
        <v>3.4</v>
      </c>
      <c r="F891" s="59">
        <v>77.3</v>
      </c>
      <c r="G891" s="59">
        <v>8</v>
      </c>
      <c r="H891" s="59" t="s">
        <v>1169</v>
      </c>
      <c r="I891" s="59">
        <v>5</v>
      </c>
      <c r="J891" s="109">
        <f t="shared" si="27"/>
        <v>2.5</v>
      </c>
      <c r="K891" s="172">
        <v>5</v>
      </c>
      <c r="L891" s="142" t="s">
        <v>608</v>
      </c>
      <c r="M891" s="170"/>
    </row>
    <row r="892" spans="1:13">
      <c r="A892" s="2"/>
      <c r="B892" s="61" t="s">
        <v>266</v>
      </c>
      <c r="C892" s="59">
        <v>374</v>
      </c>
      <c r="D892" s="59">
        <v>12.9</v>
      </c>
      <c r="E892" s="59">
        <v>2.2999999999999998</v>
      </c>
      <c r="F892" s="59">
        <v>76.400000000000006</v>
      </c>
      <c r="G892" s="59">
        <v>7.4</v>
      </c>
      <c r="H892" s="59" t="s">
        <v>1169</v>
      </c>
      <c r="I892" s="59">
        <v>5</v>
      </c>
      <c r="J892" s="109">
        <f t="shared" si="27"/>
        <v>2.5</v>
      </c>
      <c r="K892" s="172">
        <v>5</v>
      </c>
      <c r="L892" s="142" t="s">
        <v>608</v>
      </c>
      <c r="M892" s="170"/>
    </row>
    <row r="893" spans="1:13">
      <c r="A893" s="2"/>
      <c r="B893" s="61" t="s">
        <v>267</v>
      </c>
      <c r="C893" s="59">
        <v>387</v>
      </c>
      <c r="D893" s="59">
        <v>12.94</v>
      </c>
      <c r="E893" s="59">
        <v>4.54</v>
      </c>
      <c r="F893" s="59">
        <v>77.900000000000006</v>
      </c>
      <c r="G893" s="59">
        <v>14.5</v>
      </c>
      <c r="H893" s="59" t="s">
        <v>101</v>
      </c>
      <c r="I893" s="59">
        <v>8</v>
      </c>
      <c r="J893" s="109">
        <f t="shared" si="27"/>
        <v>1</v>
      </c>
      <c r="K893" s="172">
        <v>8</v>
      </c>
      <c r="L893" s="142" t="s">
        <v>512</v>
      </c>
      <c r="M893" s="170"/>
    </row>
    <row r="894" spans="1:13">
      <c r="A894" s="2"/>
      <c r="B894" s="61" t="s">
        <v>1119</v>
      </c>
      <c r="C894" s="59">
        <v>519</v>
      </c>
      <c r="D894" s="59">
        <v>2.2999999999999998</v>
      </c>
      <c r="E894" s="59">
        <v>33.6</v>
      </c>
      <c r="F894" s="59">
        <v>58.4</v>
      </c>
      <c r="G894" s="59">
        <v>7.7</v>
      </c>
      <c r="H894" s="59" t="s">
        <v>82</v>
      </c>
      <c r="I894" s="59">
        <v>85</v>
      </c>
      <c r="J894" s="109">
        <f t="shared" si="27"/>
        <v>28.05</v>
      </c>
      <c r="K894" s="172">
        <v>28.333333333333332</v>
      </c>
      <c r="L894" s="148" t="s">
        <v>537</v>
      </c>
      <c r="M894" s="170"/>
    </row>
    <row r="895" spans="1:13">
      <c r="A895" s="2"/>
      <c r="B895" s="61" t="s">
        <v>1162</v>
      </c>
      <c r="C895" s="59">
        <v>258</v>
      </c>
      <c r="D895" s="59">
        <v>5.9</v>
      </c>
      <c r="E895" s="59">
        <v>0.8</v>
      </c>
      <c r="F895" s="59">
        <v>57.8</v>
      </c>
      <c r="G895" s="59">
        <v>1.5</v>
      </c>
      <c r="H895" s="59" t="s">
        <v>1163</v>
      </c>
      <c r="I895" s="59">
        <v>28</v>
      </c>
      <c r="J895" s="109">
        <f t="shared" si="27"/>
        <v>14</v>
      </c>
      <c r="K895" s="172">
        <v>28</v>
      </c>
      <c r="L895" s="148" t="s">
        <v>609</v>
      </c>
      <c r="M895" s="170"/>
    </row>
    <row r="896" spans="1:13">
      <c r="A896" s="2"/>
      <c r="B896" s="61" t="s">
        <v>870</v>
      </c>
      <c r="C896" s="59">
        <v>252</v>
      </c>
      <c r="D896" s="59">
        <v>2.4</v>
      </c>
      <c r="E896" s="59">
        <v>8.5</v>
      </c>
      <c r="F896" s="59">
        <v>42.9</v>
      </c>
      <c r="G896" s="59">
        <v>1.4</v>
      </c>
      <c r="H896" s="59" t="s">
        <v>1455</v>
      </c>
      <c r="I896" s="59">
        <v>92</v>
      </c>
      <c r="J896" s="109">
        <f t="shared" si="27"/>
        <v>46</v>
      </c>
      <c r="K896" s="172">
        <v>92</v>
      </c>
      <c r="L896" s="142" t="s">
        <v>596</v>
      </c>
      <c r="M896" s="170"/>
    </row>
    <row r="897" spans="1:13">
      <c r="A897" s="2"/>
      <c r="B897" s="61" t="s">
        <v>871</v>
      </c>
      <c r="C897" s="59">
        <v>415</v>
      </c>
      <c r="D897" s="59">
        <v>5.0999999999999996</v>
      </c>
      <c r="E897" s="59">
        <v>9.8000000000000007</v>
      </c>
      <c r="F897" s="59">
        <v>79.2</v>
      </c>
      <c r="G897" s="62"/>
      <c r="H897" s="59" t="s">
        <v>273</v>
      </c>
      <c r="I897" s="59">
        <v>510</v>
      </c>
      <c r="J897" s="109">
        <f t="shared" si="27"/>
        <v>255</v>
      </c>
      <c r="K897" s="172">
        <v>510</v>
      </c>
      <c r="L897" s="142" t="s">
        <v>610</v>
      </c>
      <c r="M897" s="170"/>
    </row>
    <row r="898" spans="1:13">
      <c r="A898" s="2"/>
      <c r="B898" s="61" t="s">
        <v>872</v>
      </c>
      <c r="C898" s="59">
        <v>264</v>
      </c>
      <c r="D898" s="59">
        <v>2.4</v>
      </c>
      <c r="E898" s="59">
        <v>12.5</v>
      </c>
      <c r="F898" s="59">
        <v>38</v>
      </c>
      <c r="G898" s="59">
        <v>1.2</v>
      </c>
      <c r="H898" s="59" t="s">
        <v>1455</v>
      </c>
      <c r="I898" s="59">
        <v>71</v>
      </c>
      <c r="J898" s="109">
        <f t="shared" si="27"/>
        <v>35.5</v>
      </c>
      <c r="K898" s="172">
        <v>71</v>
      </c>
      <c r="L898" s="142" t="s">
        <v>596</v>
      </c>
      <c r="M898" s="170"/>
    </row>
    <row r="899" spans="1:13">
      <c r="A899" s="2"/>
      <c r="B899" s="61" t="s">
        <v>873</v>
      </c>
      <c r="C899" s="59">
        <v>367</v>
      </c>
      <c r="D899" s="59">
        <v>4.0999999999999996</v>
      </c>
      <c r="E899" s="59">
        <v>16.399999999999999</v>
      </c>
      <c r="F899" s="59">
        <v>54.6</v>
      </c>
      <c r="G899" s="59">
        <v>2.8</v>
      </c>
      <c r="H899" s="59" t="s">
        <v>1455</v>
      </c>
      <c r="I899" s="59">
        <v>64</v>
      </c>
      <c r="J899" s="109">
        <f t="shared" si="27"/>
        <v>32</v>
      </c>
      <c r="K899" s="172">
        <v>64</v>
      </c>
      <c r="L899" s="142" t="s">
        <v>596</v>
      </c>
      <c r="M899" s="170"/>
    </row>
    <row r="900" spans="1:13">
      <c r="A900" s="2"/>
      <c r="B900" s="61" t="s">
        <v>874</v>
      </c>
      <c r="C900" s="59">
        <v>324</v>
      </c>
      <c r="D900" s="59">
        <v>2.9</v>
      </c>
      <c r="E900" s="59">
        <v>9.1</v>
      </c>
      <c r="F900" s="59">
        <v>61.6</v>
      </c>
      <c r="G900" s="59">
        <v>3.7</v>
      </c>
      <c r="H900" s="59" t="s">
        <v>1455</v>
      </c>
      <c r="I900" s="59">
        <v>43</v>
      </c>
      <c r="J900" s="109">
        <f t="shared" si="27"/>
        <v>21.5</v>
      </c>
      <c r="K900" s="172">
        <v>43</v>
      </c>
      <c r="L900" s="142" t="s">
        <v>596</v>
      </c>
      <c r="M900" s="170"/>
    </row>
    <row r="901" spans="1:13">
      <c r="A901" s="2"/>
      <c r="B901" s="61" t="s">
        <v>875</v>
      </c>
      <c r="C901" s="59">
        <v>356</v>
      </c>
      <c r="D901" s="59">
        <v>3.9</v>
      </c>
      <c r="E901" s="59">
        <v>16.399999999999999</v>
      </c>
      <c r="F901" s="59">
        <v>49.2</v>
      </c>
      <c r="G901" s="62"/>
      <c r="H901" s="59" t="s">
        <v>1455</v>
      </c>
      <c r="I901" s="59">
        <v>74</v>
      </c>
      <c r="J901" s="109">
        <f t="shared" si="27"/>
        <v>37</v>
      </c>
      <c r="K901" s="172">
        <v>74</v>
      </c>
      <c r="L901" s="142" t="s">
        <v>596</v>
      </c>
      <c r="M901" s="170"/>
    </row>
    <row r="902" spans="1:13">
      <c r="A902" s="2"/>
      <c r="B902" s="61" t="s">
        <v>1393</v>
      </c>
      <c r="C902" s="59">
        <v>388</v>
      </c>
      <c r="D902" s="59">
        <v>5.5</v>
      </c>
      <c r="E902" s="59">
        <v>19.899999999999999</v>
      </c>
      <c r="F902" s="59">
        <v>48.8</v>
      </c>
      <c r="G902" s="59">
        <v>0.5</v>
      </c>
      <c r="H902" s="59" t="s">
        <v>1047</v>
      </c>
      <c r="I902" s="59">
        <v>28</v>
      </c>
      <c r="J902" s="109">
        <f t="shared" si="27"/>
        <v>14</v>
      </c>
      <c r="K902" s="172">
        <v>28</v>
      </c>
      <c r="L902" s="142" t="s">
        <v>611</v>
      </c>
      <c r="M902" s="170"/>
    </row>
    <row r="903" spans="1:13">
      <c r="A903" s="2"/>
      <c r="B903" s="61" t="s">
        <v>878</v>
      </c>
      <c r="C903" s="59">
        <v>346</v>
      </c>
      <c r="D903" s="59">
        <v>6.1</v>
      </c>
      <c r="E903" s="59">
        <v>14.2</v>
      </c>
      <c r="F903" s="59">
        <v>48.5</v>
      </c>
      <c r="G903" s="62"/>
      <c r="H903" s="59" t="s">
        <v>104</v>
      </c>
      <c r="I903" s="59">
        <v>28</v>
      </c>
      <c r="J903" s="110">
        <f t="shared" si="27"/>
        <v>14</v>
      </c>
      <c r="K903" s="172">
        <v>28</v>
      </c>
      <c r="L903" s="142" t="s">
        <v>537</v>
      </c>
      <c r="M903" s="170"/>
    </row>
    <row r="904" spans="1:13">
      <c r="A904" s="2"/>
      <c r="B904" s="61" t="s">
        <v>1392</v>
      </c>
      <c r="C904" s="59">
        <v>289</v>
      </c>
      <c r="D904" s="59">
        <v>5.4</v>
      </c>
      <c r="E904" s="59">
        <v>2.7</v>
      </c>
      <c r="F904" s="59">
        <v>61.1</v>
      </c>
      <c r="G904" s="59">
        <v>0.5</v>
      </c>
      <c r="H904" s="59" t="s">
        <v>1455</v>
      </c>
      <c r="I904" s="59">
        <v>38</v>
      </c>
      <c r="J904" s="109">
        <f t="shared" si="27"/>
        <v>19</v>
      </c>
      <c r="K904" s="172">
        <v>38</v>
      </c>
      <c r="L904" s="142" t="s">
        <v>596</v>
      </c>
      <c r="M904" s="170"/>
    </row>
    <row r="905" spans="1:13">
      <c r="A905" s="2"/>
      <c r="B905" s="61" t="s">
        <v>1390</v>
      </c>
      <c r="C905" s="59">
        <v>428</v>
      </c>
      <c r="D905" s="59">
        <v>2.6</v>
      </c>
      <c r="E905" s="59">
        <v>12.75</v>
      </c>
      <c r="F905" s="59">
        <v>77.13</v>
      </c>
      <c r="G905" s="59">
        <v>1.5</v>
      </c>
      <c r="H905" s="59" t="s">
        <v>1112</v>
      </c>
      <c r="I905" s="59">
        <v>60</v>
      </c>
      <c r="J905" s="109">
        <f t="shared" si="27"/>
        <v>30</v>
      </c>
      <c r="K905" s="172">
        <v>60</v>
      </c>
      <c r="L905" s="142" t="s">
        <v>612</v>
      </c>
      <c r="M905" s="170"/>
    </row>
    <row r="906" spans="1:13">
      <c r="A906" s="2"/>
      <c r="B906" s="61" t="s">
        <v>1220</v>
      </c>
      <c r="C906" s="59">
        <v>482</v>
      </c>
      <c r="D906" s="59">
        <v>8.7799999999999994</v>
      </c>
      <c r="E906" s="59">
        <v>23.98</v>
      </c>
      <c r="F906" s="59">
        <v>62.68</v>
      </c>
      <c r="G906" s="59">
        <v>3.1</v>
      </c>
      <c r="H906" s="59" t="s">
        <v>1221</v>
      </c>
      <c r="I906" s="59">
        <v>56</v>
      </c>
      <c r="J906" s="109">
        <f t="shared" si="27"/>
        <v>28</v>
      </c>
      <c r="K906" s="172">
        <v>28</v>
      </c>
      <c r="L906" s="148" t="s">
        <v>537</v>
      </c>
      <c r="M906" s="170"/>
    </row>
    <row r="907" spans="1:13">
      <c r="A907" s="2"/>
      <c r="B907" s="61" t="s">
        <v>882</v>
      </c>
      <c r="C907" s="59">
        <v>404</v>
      </c>
      <c r="D907" s="59">
        <v>1.67</v>
      </c>
      <c r="E907" s="59">
        <v>11.9</v>
      </c>
      <c r="F907" s="59">
        <v>76.2</v>
      </c>
      <c r="G907" s="59">
        <v>2.4</v>
      </c>
      <c r="H907" s="59" t="s">
        <v>1108</v>
      </c>
      <c r="I907" s="59">
        <v>42</v>
      </c>
      <c r="J907" s="109">
        <f t="shared" si="27"/>
        <v>8.4</v>
      </c>
      <c r="K907" s="172">
        <v>8.4</v>
      </c>
      <c r="L907" s="148" t="s">
        <v>211</v>
      </c>
      <c r="M907" s="170"/>
    </row>
    <row r="908" spans="1:13">
      <c r="A908" s="2"/>
      <c r="B908" s="61" t="s">
        <v>1103</v>
      </c>
      <c r="C908" s="59">
        <v>479</v>
      </c>
      <c r="D908" s="59">
        <v>4.13</v>
      </c>
      <c r="E908" s="59">
        <v>26.93</v>
      </c>
      <c r="F908" s="59">
        <v>59.51</v>
      </c>
      <c r="G908" s="59">
        <v>5</v>
      </c>
      <c r="H908" s="59" t="s">
        <v>1104</v>
      </c>
      <c r="I908" s="59">
        <v>49</v>
      </c>
      <c r="J908" s="109">
        <f t="shared" si="27"/>
        <v>24.5</v>
      </c>
      <c r="K908" s="172">
        <v>49</v>
      </c>
      <c r="L908" s="142" t="s">
        <v>613</v>
      </c>
      <c r="M908" s="170"/>
    </row>
    <row r="909" spans="1:13">
      <c r="A909" s="2"/>
      <c r="B909" s="61" t="s">
        <v>883</v>
      </c>
      <c r="C909" s="59">
        <v>459</v>
      </c>
      <c r="D909" s="59">
        <v>5.4</v>
      </c>
      <c r="E909" s="59">
        <v>21.6</v>
      </c>
      <c r="F909" s="59">
        <v>64.8</v>
      </c>
      <c r="G909" s="59">
        <v>2</v>
      </c>
      <c r="H909" s="59" t="s">
        <v>1106</v>
      </c>
      <c r="I909" s="59">
        <v>60</v>
      </c>
      <c r="J909" s="109">
        <f t="shared" si="27"/>
        <v>30</v>
      </c>
      <c r="K909" s="172">
        <v>60</v>
      </c>
      <c r="L909" s="142" t="s">
        <v>614</v>
      </c>
      <c r="M909" s="170"/>
    </row>
    <row r="910" spans="1:13">
      <c r="A910" s="2"/>
      <c r="B910" s="61" t="s">
        <v>884</v>
      </c>
      <c r="C910" s="59">
        <v>459</v>
      </c>
      <c r="D910" s="59">
        <v>5.4</v>
      </c>
      <c r="E910" s="59">
        <v>18.899999999999999</v>
      </c>
      <c r="F910" s="59">
        <v>72.900000000000006</v>
      </c>
      <c r="G910" s="59">
        <v>2</v>
      </c>
      <c r="H910" s="59" t="s">
        <v>1106</v>
      </c>
      <c r="I910" s="59">
        <v>60</v>
      </c>
      <c r="J910" s="109">
        <f t="shared" si="27"/>
        <v>30</v>
      </c>
      <c r="K910" s="172">
        <v>60</v>
      </c>
      <c r="L910" s="142" t="s">
        <v>614</v>
      </c>
      <c r="M910" s="170"/>
    </row>
    <row r="911" spans="1:13">
      <c r="A911" s="2"/>
      <c r="B911" s="61" t="s">
        <v>885</v>
      </c>
      <c r="C911" s="59">
        <v>475</v>
      </c>
      <c r="D911" s="59">
        <v>7.5</v>
      </c>
      <c r="E911" s="59">
        <v>27.5</v>
      </c>
      <c r="F911" s="59">
        <v>60</v>
      </c>
      <c r="G911" s="59">
        <v>2.5</v>
      </c>
      <c r="H911" s="59" t="s">
        <v>1233</v>
      </c>
      <c r="I911" s="59">
        <v>40</v>
      </c>
      <c r="J911" s="110">
        <f t="shared" si="27"/>
        <v>20</v>
      </c>
      <c r="K911" s="172">
        <v>40</v>
      </c>
      <c r="L911" s="142" t="s">
        <v>615</v>
      </c>
      <c r="M911" s="170"/>
    </row>
    <row r="912" spans="1:13">
      <c r="A912" s="2"/>
      <c r="B912" s="61" t="s">
        <v>1391</v>
      </c>
      <c r="C912" s="59">
        <v>546</v>
      </c>
      <c r="D912" s="59">
        <v>5.94</v>
      </c>
      <c r="E912" s="59">
        <v>31.72</v>
      </c>
      <c r="F912" s="59">
        <v>59.78</v>
      </c>
      <c r="G912" s="59">
        <v>2.4</v>
      </c>
      <c r="H912" s="59" t="s">
        <v>1244</v>
      </c>
      <c r="I912" s="59">
        <v>37</v>
      </c>
      <c r="J912" s="109">
        <f t="shared" si="27"/>
        <v>18.5</v>
      </c>
      <c r="K912" s="172">
        <v>37</v>
      </c>
      <c r="L912" s="142" t="s">
        <v>616</v>
      </c>
      <c r="M912" s="170"/>
    </row>
    <row r="913" spans="1:13">
      <c r="A913" s="2"/>
      <c r="B913" s="61" t="s">
        <v>1230</v>
      </c>
      <c r="C913" s="59">
        <v>469</v>
      </c>
      <c r="D913" s="59">
        <v>12.49</v>
      </c>
      <c r="E913" s="59">
        <v>21.52</v>
      </c>
      <c r="F913" s="59">
        <v>60.49</v>
      </c>
      <c r="G913" s="59">
        <v>4.5</v>
      </c>
      <c r="H913" s="59" t="s">
        <v>104</v>
      </c>
      <c r="I913" s="59">
        <v>28</v>
      </c>
      <c r="J913" s="110">
        <f t="shared" si="27"/>
        <v>14</v>
      </c>
      <c r="K913" s="172">
        <v>28</v>
      </c>
      <c r="L913" s="142" t="s">
        <v>537</v>
      </c>
      <c r="M913" s="170"/>
    </row>
    <row r="914" spans="1:13">
      <c r="A914" s="2"/>
      <c r="B914" s="61" t="s">
        <v>1222</v>
      </c>
      <c r="C914" s="59">
        <v>375</v>
      </c>
      <c r="D914" s="59">
        <v>0</v>
      </c>
      <c r="E914" s="59">
        <v>0.05</v>
      </c>
      <c r="F914" s="59">
        <v>93.55</v>
      </c>
      <c r="G914" s="59">
        <v>0.2</v>
      </c>
      <c r="H914" s="59" t="s">
        <v>1223</v>
      </c>
      <c r="I914" s="59">
        <v>11</v>
      </c>
      <c r="J914" s="109">
        <f t="shared" si="27"/>
        <v>1.1000000000000001</v>
      </c>
      <c r="K914" s="172">
        <v>1.1000000000000001</v>
      </c>
      <c r="L914" s="148" t="s">
        <v>212</v>
      </c>
      <c r="M914" s="170"/>
    </row>
    <row r="915" spans="1:13">
      <c r="A915" s="2"/>
      <c r="B915" s="61" t="s">
        <v>1224</v>
      </c>
      <c r="C915" s="59">
        <v>518</v>
      </c>
      <c r="D915" s="59">
        <v>6.51</v>
      </c>
      <c r="E915" s="59">
        <v>25.99</v>
      </c>
      <c r="F915" s="59">
        <v>64.59</v>
      </c>
      <c r="G915" s="59">
        <v>1</v>
      </c>
      <c r="H915" s="59" t="s">
        <v>1218</v>
      </c>
      <c r="I915" s="59">
        <v>42</v>
      </c>
      <c r="J915" s="109">
        <f t="shared" si="27"/>
        <v>21</v>
      </c>
      <c r="K915" s="172">
        <v>42</v>
      </c>
      <c r="L915" s="142" t="s">
        <v>617</v>
      </c>
      <c r="M915" s="170"/>
    </row>
    <row r="916" spans="1:13">
      <c r="A916" s="2"/>
      <c r="B916" s="61" t="s">
        <v>1225</v>
      </c>
      <c r="C916" s="59">
        <v>512</v>
      </c>
      <c r="D916" s="59">
        <v>6.62</v>
      </c>
      <c r="E916" s="59">
        <v>26.58</v>
      </c>
      <c r="F916" s="59">
        <v>63.96</v>
      </c>
      <c r="G916" s="59">
        <v>2.2000000000000002</v>
      </c>
      <c r="H916" s="59" t="s">
        <v>1226</v>
      </c>
      <c r="I916" s="59">
        <v>41</v>
      </c>
      <c r="J916" s="109">
        <f t="shared" si="27"/>
        <v>20.5</v>
      </c>
      <c r="K916" s="172">
        <v>41</v>
      </c>
      <c r="L916" s="142" t="s">
        <v>607</v>
      </c>
      <c r="M916" s="170"/>
    </row>
    <row r="917" spans="1:13">
      <c r="A917" s="2"/>
      <c r="B917" s="61" t="s">
        <v>879</v>
      </c>
      <c r="C917" s="59">
        <v>492</v>
      </c>
      <c r="D917" s="59">
        <v>4.33</v>
      </c>
      <c r="E917" s="59">
        <v>21.13</v>
      </c>
      <c r="F917" s="59">
        <v>71.19</v>
      </c>
      <c r="G917" s="59">
        <v>2.8</v>
      </c>
      <c r="H917" s="59" t="s">
        <v>960</v>
      </c>
      <c r="I917" s="59">
        <v>42</v>
      </c>
      <c r="J917" s="109">
        <f t="shared" si="27"/>
        <v>21</v>
      </c>
      <c r="K917" s="172">
        <v>42</v>
      </c>
      <c r="L917" s="142" t="s">
        <v>618</v>
      </c>
      <c r="M917" s="170"/>
    </row>
    <row r="918" spans="1:13">
      <c r="A918" s="2"/>
      <c r="B918" s="61" t="s">
        <v>876</v>
      </c>
      <c r="C918" s="59">
        <v>502</v>
      </c>
      <c r="D918" s="59">
        <v>4.78</v>
      </c>
      <c r="E918" s="59">
        <v>23.36</v>
      </c>
      <c r="F918" s="59">
        <v>68.400000000000006</v>
      </c>
      <c r="G918" s="59">
        <v>2.7</v>
      </c>
      <c r="H918" s="59" t="s">
        <v>1111</v>
      </c>
      <c r="I918" s="59">
        <v>30</v>
      </c>
      <c r="J918" s="109">
        <f t="shared" si="27"/>
        <v>15</v>
      </c>
      <c r="K918" s="172">
        <v>30</v>
      </c>
      <c r="L918" s="142" t="s">
        <v>619</v>
      </c>
      <c r="M918" s="170"/>
    </row>
    <row r="919" spans="1:13">
      <c r="A919" s="2"/>
      <c r="B919" s="61" t="s">
        <v>880</v>
      </c>
      <c r="C919" s="59">
        <v>515</v>
      </c>
      <c r="D919" s="59">
        <v>9.57</v>
      </c>
      <c r="E919" s="59">
        <v>26.13</v>
      </c>
      <c r="F919" s="59">
        <v>60.48</v>
      </c>
      <c r="G919" s="59">
        <v>3.7</v>
      </c>
      <c r="H919" s="59" t="s">
        <v>1241</v>
      </c>
      <c r="I919" s="59">
        <v>54</v>
      </c>
      <c r="J919" s="109">
        <f t="shared" si="27"/>
        <v>27</v>
      </c>
      <c r="K919" s="172">
        <v>54</v>
      </c>
      <c r="L919" s="142" t="s">
        <v>620</v>
      </c>
      <c r="M919" s="170"/>
    </row>
    <row r="920" spans="1:13">
      <c r="A920" s="2"/>
      <c r="B920" s="61" t="s">
        <v>1228</v>
      </c>
      <c r="C920" s="59">
        <v>318</v>
      </c>
      <c r="D920" s="59">
        <v>1.8</v>
      </c>
      <c r="E920" s="59">
        <v>0.2</v>
      </c>
      <c r="F920" s="59">
        <v>81.3</v>
      </c>
      <c r="G920" s="59">
        <v>0.1</v>
      </c>
      <c r="H920" s="59" t="s">
        <v>1229</v>
      </c>
      <c r="I920" s="59">
        <v>50</v>
      </c>
      <c r="J920" s="109">
        <f t="shared" si="27"/>
        <v>12.5</v>
      </c>
      <c r="K920" s="172">
        <v>50</v>
      </c>
      <c r="L920" s="142" t="s">
        <v>512</v>
      </c>
      <c r="M920" s="170"/>
    </row>
    <row r="921" spans="1:13">
      <c r="A921" s="2"/>
      <c r="B921" s="61" t="s">
        <v>1234</v>
      </c>
      <c r="C921" s="59">
        <v>535</v>
      </c>
      <c r="D921" s="59">
        <v>7.65</v>
      </c>
      <c r="E921" s="59">
        <v>29.66</v>
      </c>
      <c r="F921" s="59">
        <v>59.4</v>
      </c>
      <c r="G921" s="59">
        <v>3.4</v>
      </c>
      <c r="H921" s="59" t="s">
        <v>961</v>
      </c>
      <c r="I921" s="59">
        <v>7</v>
      </c>
      <c r="J921" s="109">
        <f t="shared" ref="J921:J952" si="28">I921*VLOOKUP(H921,Fractional,2,FALSE)</f>
        <v>3.5</v>
      </c>
      <c r="K921" s="172">
        <v>7</v>
      </c>
      <c r="L921" s="142" t="s">
        <v>621</v>
      </c>
      <c r="M921" s="170"/>
    </row>
    <row r="922" spans="1:13">
      <c r="A922" s="2"/>
      <c r="B922" s="61" t="s">
        <v>1235</v>
      </c>
      <c r="C922" s="59">
        <v>519</v>
      </c>
      <c r="D922" s="59">
        <v>13.1</v>
      </c>
      <c r="E922" s="59">
        <v>33.5</v>
      </c>
      <c r="F922" s="59">
        <v>49.7</v>
      </c>
      <c r="G922" s="59">
        <v>4.7</v>
      </c>
      <c r="H922" s="59" t="s">
        <v>1236</v>
      </c>
      <c r="I922" s="59">
        <v>40</v>
      </c>
      <c r="J922" s="109">
        <f t="shared" si="28"/>
        <v>4</v>
      </c>
      <c r="K922" s="172">
        <v>4</v>
      </c>
      <c r="L922" s="148" t="s">
        <v>207</v>
      </c>
      <c r="M922" s="170"/>
    </row>
    <row r="923" spans="1:13">
      <c r="A923" s="2"/>
      <c r="B923" s="61" t="s">
        <v>1237</v>
      </c>
      <c r="C923" s="59">
        <v>390</v>
      </c>
      <c r="D923" s="59">
        <v>4.0999999999999996</v>
      </c>
      <c r="E923" s="59">
        <v>14.8</v>
      </c>
      <c r="F923" s="59">
        <v>68.400000000000006</v>
      </c>
      <c r="G923" s="59">
        <v>3.1</v>
      </c>
      <c r="H923" s="59" t="s">
        <v>1236</v>
      </c>
      <c r="I923" s="59">
        <v>10</v>
      </c>
      <c r="J923" s="109">
        <f t="shared" si="28"/>
        <v>1</v>
      </c>
      <c r="K923" s="172">
        <v>1</v>
      </c>
      <c r="L923" s="148" t="s">
        <v>207</v>
      </c>
      <c r="M923" s="170"/>
    </row>
    <row r="924" spans="1:13">
      <c r="A924" s="2"/>
      <c r="B924" s="61" t="s">
        <v>877</v>
      </c>
      <c r="C924" s="59">
        <v>463</v>
      </c>
      <c r="D924" s="59">
        <v>4.28</v>
      </c>
      <c r="E924" s="59">
        <v>19.170000000000002</v>
      </c>
      <c r="F924" s="59">
        <v>68.489999999999995</v>
      </c>
      <c r="G924" s="59">
        <v>0.7</v>
      </c>
      <c r="H924" s="59" t="s">
        <v>1245</v>
      </c>
      <c r="I924" s="59">
        <v>44</v>
      </c>
      <c r="J924" s="110">
        <f t="shared" si="28"/>
        <v>8.8000000000000007</v>
      </c>
      <c r="K924" s="172">
        <v>8.8000000000000007</v>
      </c>
      <c r="L924" s="148" t="s">
        <v>207</v>
      </c>
      <c r="M924" s="170"/>
    </row>
    <row r="925" spans="1:13">
      <c r="A925" s="2"/>
      <c r="B925" s="61" t="s">
        <v>881</v>
      </c>
      <c r="C925" s="59">
        <v>458</v>
      </c>
      <c r="D925" s="59">
        <v>3.82</v>
      </c>
      <c r="E925" s="59">
        <v>20.420000000000002</v>
      </c>
      <c r="F925" s="59">
        <v>67.56</v>
      </c>
      <c r="G925" s="59">
        <v>2.8</v>
      </c>
      <c r="H925" s="59" t="s">
        <v>1245</v>
      </c>
      <c r="I925" s="59">
        <v>44</v>
      </c>
      <c r="J925" s="110">
        <f t="shared" si="28"/>
        <v>8.8000000000000007</v>
      </c>
      <c r="K925" s="172">
        <v>8.8000000000000007</v>
      </c>
      <c r="L925" s="148" t="s">
        <v>207</v>
      </c>
      <c r="M925" s="170"/>
    </row>
    <row r="926" spans="1:13">
      <c r="A926" s="2"/>
      <c r="B926" s="61" t="s">
        <v>1242</v>
      </c>
      <c r="C926" s="59">
        <v>538</v>
      </c>
      <c r="D926" s="59">
        <v>10.220000000000001</v>
      </c>
      <c r="E926" s="59">
        <v>33.21</v>
      </c>
      <c r="F926" s="59">
        <v>54.34</v>
      </c>
      <c r="G926" s="59">
        <v>3.8</v>
      </c>
      <c r="H926" s="59" t="s">
        <v>1243</v>
      </c>
      <c r="I926" s="59">
        <v>49</v>
      </c>
      <c r="J926" s="109">
        <f t="shared" si="28"/>
        <v>24.5</v>
      </c>
      <c r="K926" s="172">
        <v>49</v>
      </c>
      <c r="L926" s="142" t="s">
        <v>622</v>
      </c>
      <c r="M926" s="170"/>
    </row>
    <row r="927" spans="1:13">
      <c r="A927" s="2"/>
      <c r="B927" s="61" t="s">
        <v>886</v>
      </c>
      <c r="C927" s="59">
        <v>462</v>
      </c>
      <c r="D927" s="59">
        <v>7.7</v>
      </c>
      <c r="E927" s="59">
        <v>23</v>
      </c>
      <c r="F927" s="59">
        <v>65.5</v>
      </c>
      <c r="G927" s="59">
        <v>1.9</v>
      </c>
      <c r="H927" s="59" t="s">
        <v>1227</v>
      </c>
      <c r="I927" s="59">
        <v>57</v>
      </c>
      <c r="J927" s="109">
        <f t="shared" si="28"/>
        <v>28.5</v>
      </c>
      <c r="K927" s="172">
        <v>57</v>
      </c>
      <c r="L927" s="142" t="s">
        <v>623</v>
      </c>
      <c r="M927" s="170"/>
    </row>
    <row r="928" spans="1:13">
      <c r="A928" s="2"/>
      <c r="B928" s="61" t="s">
        <v>887</v>
      </c>
      <c r="C928" s="59">
        <v>515</v>
      </c>
      <c r="D928" s="59">
        <v>10.24</v>
      </c>
      <c r="E928" s="59">
        <v>30.53</v>
      </c>
      <c r="F928" s="59">
        <v>55.36</v>
      </c>
      <c r="G928" s="59">
        <v>3.6</v>
      </c>
      <c r="H928" s="59" t="s">
        <v>101</v>
      </c>
      <c r="I928" s="59">
        <v>17</v>
      </c>
      <c r="J928" s="109">
        <f t="shared" si="28"/>
        <v>2.125</v>
      </c>
      <c r="K928" s="172">
        <v>17</v>
      </c>
      <c r="L928" s="142" t="s">
        <v>512</v>
      </c>
      <c r="M928" s="170"/>
    </row>
    <row r="929" spans="1:13">
      <c r="A929" s="2"/>
      <c r="B929" s="61" t="s">
        <v>1402</v>
      </c>
      <c r="C929" s="59">
        <v>497</v>
      </c>
      <c r="D929" s="59">
        <v>12.46</v>
      </c>
      <c r="E929" s="59">
        <v>24.77</v>
      </c>
      <c r="F929" s="59">
        <v>59.86</v>
      </c>
      <c r="G929" s="59">
        <v>3</v>
      </c>
      <c r="H929" s="59" t="s">
        <v>1446</v>
      </c>
      <c r="I929" s="59">
        <v>47</v>
      </c>
      <c r="J929" s="109">
        <f t="shared" si="28"/>
        <v>23.5</v>
      </c>
      <c r="K929" s="172">
        <v>188</v>
      </c>
      <c r="L929" s="142" t="s">
        <v>512</v>
      </c>
      <c r="M929" s="170"/>
    </row>
    <row r="930" spans="1:13">
      <c r="A930" s="2"/>
      <c r="B930" s="61" t="s">
        <v>888</v>
      </c>
      <c r="C930" s="59">
        <v>474</v>
      </c>
      <c r="D930" s="59">
        <v>5.08</v>
      </c>
      <c r="E930" s="59">
        <v>20.93</v>
      </c>
      <c r="F930" s="59">
        <v>67.95</v>
      </c>
      <c r="G930" s="59">
        <v>0.9</v>
      </c>
      <c r="H930" s="59" t="s">
        <v>273</v>
      </c>
      <c r="I930" s="59">
        <v>48</v>
      </c>
      <c r="J930" s="109">
        <f t="shared" si="28"/>
        <v>24</v>
      </c>
      <c r="K930" s="172">
        <v>48</v>
      </c>
      <c r="L930" s="142" t="s">
        <v>610</v>
      </c>
      <c r="M930" s="170"/>
    </row>
    <row r="931" spans="1:13">
      <c r="A931" s="2"/>
      <c r="B931" s="61" t="s">
        <v>889</v>
      </c>
      <c r="C931" s="59">
        <v>405</v>
      </c>
      <c r="D931" s="59">
        <v>0.19</v>
      </c>
      <c r="E931" s="59">
        <v>4.37</v>
      </c>
      <c r="F931" s="59">
        <v>90.78</v>
      </c>
      <c r="G931" s="59">
        <v>0</v>
      </c>
      <c r="H931" s="59" t="s">
        <v>1118</v>
      </c>
      <c r="I931" s="59">
        <v>61</v>
      </c>
      <c r="J931" s="109">
        <f t="shared" si="28"/>
        <v>30.5</v>
      </c>
      <c r="K931" s="172">
        <v>61</v>
      </c>
      <c r="L931" s="142" t="s">
        <v>624</v>
      </c>
      <c r="M931" s="170"/>
    </row>
    <row r="932" spans="1:13">
      <c r="A932" s="2"/>
      <c r="B932" s="61" t="s">
        <v>1239</v>
      </c>
      <c r="C932" s="59">
        <v>535</v>
      </c>
      <c r="D932" s="59">
        <v>3.13</v>
      </c>
      <c r="E932" s="59">
        <v>32.18</v>
      </c>
      <c r="F932" s="59">
        <v>61.72</v>
      </c>
      <c r="G932" s="59">
        <v>1.3</v>
      </c>
      <c r="H932" s="59" t="s">
        <v>1240</v>
      </c>
      <c r="I932" s="59">
        <v>39</v>
      </c>
      <c r="J932" s="110">
        <f t="shared" si="28"/>
        <v>19.5</v>
      </c>
      <c r="K932" s="172">
        <v>39</v>
      </c>
      <c r="L932" s="142" t="s">
        <v>625</v>
      </c>
      <c r="M932" s="170"/>
    </row>
    <row r="933" spans="1:13">
      <c r="A933" s="2"/>
      <c r="B933" s="61" t="s">
        <v>1389</v>
      </c>
      <c r="C933" s="59">
        <v>475</v>
      </c>
      <c r="D933" s="59">
        <v>7.53</v>
      </c>
      <c r="E933" s="59">
        <v>23.85</v>
      </c>
      <c r="F933" s="59">
        <v>60.56</v>
      </c>
      <c r="G933" s="59">
        <v>2.2999999999999998</v>
      </c>
      <c r="H933" s="59" t="s">
        <v>1109</v>
      </c>
      <c r="I933" s="59">
        <v>57</v>
      </c>
      <c r="J933" s="109">
        <f t="shared" si="28"/>
        <v>28.5</v>
      </c>
      <c r="K933" s="172">
        <v>57</v>
      </c>
      <c r="L933" s="142" t="s">
        <v>626</v>
      </c>
      <c r="M933" s="170"/>
    </row>
    <row r="934" spans="1:13">
      <c r="A934" s="2"/>
      <c r="B934" s="61" t="s">
        <v>890</v>
      </c>
      <c r="C934" s="59">
        <v>408</v>
      </c>
      <c r="D934" s="59">
        <v>0.41</v>
      </c>
      <c r="E934" s="59">
        <v>8.2100000000000009</v>
      </c>
      <c r="F934" s="59">
        <v>82.57</v>
      </c>
      <c r="G934" s="59">
        <v>0</v>
      </c>
      <c r="H934" s="59" t="s">
        <v>1110</v>
      </c>
      <c r="I934" s="59">
        <v>40</v>
      </c>
      <c r="J934" s="109">
        <f t="shared" si="28"/>
        <v>20</v>
      </c>
      <c r="K934" s="172">
        <v>40</v>
      </c>
      <c r="L934" s="142" t="s">
        <v>627</v>
      </c>
      <c r="M934" s="170"/>
    </row>
    <row r="935" spans="1:13">
      <c r="A935" s="2"/>
      <c r="B935" s="61" t="s">
        <v>891</v>
      </c>
      <c r="C935" s="59">
        <v>387</v>
      </c>
      <c r="D935" s="59">
        <v>1.59</v>
      </c>
      <c r="E935" s="59">
        <v>3.31</v>
      </c>
      <c r="F935" s="59">
        <v>87.73</v>
      </c>
      <c r="G935" s="59">
        <v>0.1</v>
      </c>
      <c r="H935" s="59" t="s">
        <v>1102</v>
      </c>
      <c r="I935" s="59">
        <v>40</v>
      </c>
      <c r="J935" s="109">
        <f t="shared" si="28"/>
        <v>20</v>
      </c>
      <c r="K935" s="172">
        <v>40</v>
      </c>
      <c r="L935" s="142" t="s">
        <v>628</v>
      </c>
      <c r="M935" s="170"/>
    </row>
    <row r="936" spans="1:13">
      <c r="A936" s="2"/>
      <c r="B936" s="61" t="s">
        <v>892</v>
      </c>
      <c r="C936" s="59">
        <v>502</v>
      </c>
      <c r="D936" s="59">
        <v>4.91</v>
      </c>
      <c r="E936" s="59">
        <v>24.85</v>
      </c>
      <c r="F936" s="59">
        <v>64.930000000000007</v>
      </c>
      <c r="G936" s="59">
        <v>1.1000000000000001</v>
      </c>
      <c r="H936" s="59" t="s">
        <v>1113</v>
      </c>
      <c r="I936" s="59">
        <v>57</v>
      </c>
      <c r="J936" s="109">
        <f t="shared" si="28"/>
        <v>28.5</v>
      </c>
      <c r="K936" s="172">
        <v>57</v>
      </c>
      <c r="L936" s="142" t="s">
        <v>629</v>
      </c>
      <c r="M936" s="170"/>
    </row>
    <row r="937" spans="1:13">
      <c r="A937" s="2"/>
      <c r="B937" s="61" t="s">
        <v>893</v>
      </c>
      <c r="C937" s="59">
        <v>536</v>
      </c>
      <c r="D937" s="59">
        <v>9.18</v>
      </c>
      <c r="E937" s="59">
        <v>32.67</v>
      </c>
      <c r="F937" s="59">
        <v>54.15</v>
      </c>
      <c r="G937" s="59">
        <v>3.1</v>
      </c>
      <c r="H937" s="59" t="s">
        <v>1114</v>
      </c>
      <c r="I937" s="59">
        <v>54</v>
      </c>
      <c r="J937" s="109">
        <f t="shared" si="28"/>
        <v>27</v>
      </c>
      <c r="K937" s="172">
        <v>54</v>
      </c>
      <c r="L937" s="142" t="s">
        <v>630</v>
      </c>
      <c r="M937" s="170"/>
    </row>
    <row r="938" spans="1:13">
      <c r="A938" s="2"/>
      <c r="B938" s="61" t="s">
        <v>894</v>
      </c>
      <c r="C938" s="59">
        <v>338</v>
      </c>
      <c r="D938" s="59">
        <v>2.97</v>
      </c>
      <c r="E938" s="59">
        <v>1.7</v>
      </c>
      <c r="F938" s="59">
        <v>79.38</v>
      </c>
      <c r="G938" s="59">
        <v>0.1</v>
      </c>
      <c r="H938" s="59" t="s">
        <v>1105</v>
      </c>
      <c r="I938" s="59">
        <v>40</v>
      </c>
      <c r="J938" s="110">
        <f t="shared" si="28"/>
        <v>20</v>
      </c>
      <c r="K938" s="172">
        <v>2.2222222222222223</v>
      </c>
      <c r="L938" s="148" t="s">
        <v>207</v>
      </c>
      <c r="M938" s="170"/>
    </row>
    <row r="939" spans="1:13">
      <c r="A939" s="2"/>
      <c r="B939" s="61" t="s">
        <v>894</v>
      </c>
      <c r="C939" s="59">
        <v>350</v>
      </c>
      <c r="D939" s="59">
        <v>2.56</v>
      </c>
      <c r="E939" s="59">
        <v>2.3199999999999998</v>
      </c>
      <c r="F939" s="59">
        <v>79.739999999999995</v>
      </c>
      <c r="G939" s="59">
        <v>0</v>
      </c>
      <c r="H939" s="59" t="s">
        <v>1105</v>
      </c>
      <c r="I939" s="59">
        <v>40</v>
      </c>
      <c r="J939" s="109">
        <f t="shared" si="28"/>
        <v>20</v>
      </c>
      <c r="K939" s="172">
        <v>2.2222222222222223</v>
      </c>
      <c r="L939" s="148" t="s">
        <v>207</v>
      </c>
      <c r="M939" s="170"/>
    </row>
    <row r="940" spans="1:13">
      <c r="A940" s="2"/>
      <c r="B940" s="61" t="s">
        <v>895</v>
      </c>
      <c r="C940" s="59">
        <v>494</v>
      </c>
      <c r="D940" s="59">
        <v>8.0399999999999991</v>
      </c>
      <c r="E940" s="59">
        <v>23.68</v>
      </c>
      <c r="F940" s="59">
        <v>63.23</v>
      </c>
      <c r="G940" s="59">
        <v>1.9</v>
      </c>
      <c r="H940" s="59" t="s">
        <v>1115</v>
      </c>
      <c r="I940" s="59">
        <v>0</v>
      </c>
      <c r="J940" s="110">
        <f t="shared" si="28"/>
        <v>0</v>
      </c>
      <c r="K940" s="172">
        <v>0</v>
      </c>
      <c r="L940" s="142" t="s">
        <v>631</v>
      </c>
      <c r="M940" s="170"/>
    </row>
    <row r="941" spans="1:13">
      <c r="A941" s="2"/>
      <c r="B941" s="61" t="s">
        <v>1116</v>
      </c>
      <c r="C941" s="59">
        <v>394</v>
      </c>
      <c r="D941" s="59">
        <v>1.78</v>
      </c>
      <c r="E941" s="59">
        <v>7.32</v>
      </c>
      <c r="F941" s="59">
        <v>81.64</v>
      </c>
      <c r="G941" s="59">
        <v>2</v>
      </c>
      <c r="H941" s="59" t="s">
        <v>1117</v>
      </c>
      <c r="I941" s="59">
        <v>39</v>
      </c>
      <c r="J941" s="110">
        <f t="shared" si="28"/>
        <v>2.6</v>
      </c>
      <c r="K941" s="172">
        <v>2.6</v>
      </c>
      <c r="L941" s="142" t="s">
        <v>1117</v>
      </c>
      <c r="M941" s="170"/>
    </row>
    <row r="942" spans="1:13">
      <c r="A942" s="2"/>
      <c r="B942" s="61" t="s">
        <v>1394</v>
      </c>
      <c r="C942" s="59">
        <v>321</v>
      </c>
      <c r="D942" s="59">
        <v>5.5</v>
      </c>
      <c r="E942" s="59">
        <v>22.5</v>
      </c>
      <c r="F942" s="59">
        <v>25.5</v>
      </c>
      <c r="G942" s="59">
        <v>0.4</v>
      </c>
      <c r="H942" s="59" t="s">
        <v>1455</v>
      </c>
      <c r="I942" s="59">
        <v>80</v>
      </c>
      <c r="J942" s="109">
        <f t="shared" si="28"/>
        <v>40</v>
      </c>
      <c r="K942" s="172">
        <v>80</v>
      </c>
      <c r="L942" s="142" t="s">
        <v>596</v>
      </c>
      <c r="M942" s="170"/>
    </row>
    <row r="943" spans="1:13">
      <c r="A943" s="2"/>
      <c r="B943" s="61" t="s">
        <v>1094</v>
      </c>
      <c r="C943" s="59">
        <v>425</v>
      </c>
      <c r="D943" s="59">
        <v>11</v>
      </c>
      <c r="E943" s="59">
        <v>17.3</v>
      </c>
      <c r="F943" s="59">
        <v>65.099999999999994</v>
      </c>
      <c r="G943" s="59">
        <v>5.6</v>
      </c>
      <c r="H943" s="59" t="s">
        <v>962</v>
      </c>
      <c r="I943" s="59">
        <v>28</v>
      </c>
      <c r="J943" s="109">
        <f t="shared" si="28"/>
        <v>10.5</v>
      </c>
      <c r="K943" s="172">
        <v>42</v>
      </c>
      <c r="L943" s="148" t="s">
        <v>512</v>
      </c>
      <c r="M943" s="170"/>
    </row>
    <row r="944" spans="1:13">
      <c r="A944" s="2"/>
      <c r="B944" s="61" t="s">
        <v>1164</v>
      </c>
      <c r="C944" s="59">
        <v>339</v>
      </c>
      <c r="D944" s="59">
        <v>7</v>
      </c>
      <c r="E944" s="59">
        <v>15.2</v>
      </c>
      <c r="F944" s="59">
        <v>44.3</v>
      </c>
      <c r="G944" s="59">
        <v>1</v>
      </c>
      <c r="H944" s="59" t="s">
        <v>1455</v>
      </c>
      <c r="I944" s="59">
        <v>76</v>
      </c>
      <c r="J944" s="109">
        <f t="shared" si="28"/>
        <v>38</v>
      </c>
      <c r="K944" s="172">
        <v>76</v>
      </c>
      <c r="L944" s="142" t="s">
        <v>596</v>
      </c>
      <c r="M944" s="170"/>
    </row>
    <row r="945" spans="1:13">
      <c r="A945" s="2"/>
      <c r="B945" s="61" t="s">
        <v>1165</v>
      </c>
      <c r="C945" s="59">
        <v>311</v>
      </c>
      <c r="D945" s="59">
        <v>5.2</v>
      </c>
      <c r="E945" s="59">
        <v>10.199999999999999</v>
      </c>
      <c r="F945" s="59">
        <v>51.5</v>
      </c>
      <c r="G945" s="59">
        <v>2.5</v>
      </c>
      <c r="H945" s="59" t="s">
        <v>1455</v>
      </c>
      <c r="I945" s="59">
        <v>50</v>
      </c>
      <c r="J945" s="109">
        <f t="shared" si="28"/>
        <v>25</v>
      </c>
      <c r="K945" s="172">
        <v>50</v>
      </c>
      <c r="L945" s="142" t="s">
        <v>596</v>
      </c>
      <c r="M945" s="170"/>
    </row>
    <row r="946" spans="1:13">
      <c r="A946" s="2"/>
      <c r="B946" s="61" t="s">
        <v>897</v>
      </c>
      <c r="C946" s="59">
        <v>446</v>
      </c>
      <c r="D946" s="59">
        <v>6.9</v>
      </c>
      <c r="E946" s="59">
        <v>13.8</v>
      </c>
      <c r="F946" s="59">
        <v>74.099999999999994</v>
      </c>
      <c r="G946" s="59">
        <v>1.1000000000000001</v>
      </c>
      <c r="H946" s="59" t="s">
        <v>1458</v>
      </c>
      <c r="I946" s="59">
        <v>5</v>
      </c>
      <c r="J946" s="109">
        <f t="shared" si="28"/>
        <v>2.5</v>
      </c>
      <c r="K946" s="172">
        <v>5</v>
      </c>
      <c r="L946" s="142" t="s">
        <v>568</v>
      </c>
      <c r="M946" s="170"/>
    </row>
    <row r="947" spans="1:13">
      <c r="A947" s="2"/>
      <c r="B947" s="61" t="s">
        <v>1048</v>
      </c>
      <c r="C947" s="59">
        <v>405</v>
      </c>
      <c r="D947" s="59">
        <v>4.8</v>
      </c>
      <c r="E947" s="59">
        <v>16.3</v>
      </c>
      <c r="F947" s="59">
        <v>63.9</v>
      </c>
      <c r="G947" s="59">
        <v>2.1</v>
      </c>
      <c r="H947" s="59" t="s">
        <v>963</v>
      </c>
      <c r="I947" s="59">
        <v>56</v>
      </c>
      <c r="J947" s="109">
        <f t="shared" si="28"/>
        <v>28</v>
      </c>
      <c r="K947" s="172">
        <v>56</v>
      </c>
      <c r="L947" s="142" t="s">
        <v>632</v>
      </c>
      <c r="M947" s="170"/>
    </row>
    <row r="948" spans="1:13">
      <c r="A948" s="2"/>
      <c r="B948" s="61" t="s">
        <v>898</v>
      </c>
      <c r="C948" s="59">
        <v>466</v>
      </c>
      <c r="D948" s="59">
        <v>6.2</v>
      </c>
      <c r="E948" s="59">
        <v>29.1</v>
      </c>
      <c r="F948" s="59">
        <v>50.2</v>
      </c>
      <c r="G948" s="62"/>
      <c r="H948" s="59" t="s">
        <v>964</v>
      </c>
      <c r="I948" s="59">
        <v>24</v>
      </c>
      <c r="J948" s="109">
        <f t="shared" si="28"/>
        <v>12</v>
      </c>
      <c r="K948" s="172">
        <v>24</v>
      </c>
      <c r="L948" s="142" t="s">
        <v>633</v>
      </c>
      <c r="M948" s="170"/>
    </row>
    <row r="949" spans="1:13">
      <c r="A949" s="2"/>
      <c r="B949" s="61" t="s">
        <v>1395</v>
      </c>
      <c r="C949" s="59">
        <v>467</v>
      </c>
      <c r="D949" s="59">
        <v>6.1</v>
      </c>
      <c r="E949" s="59">
        <v>18.8</v>
      </c>
      <c r="F949" s="59">
        <v>68.900000000000006</v>
      </c>
      <c r="G949" s="59">
        <v>0.8</v>
      </c>
      <c r="H949" s="59" t="s">
        <v>1456</v>
      </c>
      <c r="I949" s="59">
        <v>5</v>
      </c>
      <c r="J949" s="109">
        <f t="shared" si="28"/>
        <v>2.5</v>
      </c>
      <c r="K949" s="172">
        <v>5</v>
      </c>
      <c r="L949" s="142" t="s">
        <v>634</v>
      </c>
      <c r="M949" s="170"/>
    </row>
    <row r="950" spans="1:13">
      <c r="A950" s="2"/>
      <c r="B950" s="61" t="s">
        <v>1396</v>
      </c>
      <c r="C950" s="59">
        <v>458</v>
      </c>
      <c r="D950" s="59">
        <v>3.5</v>
      </c>
      <c r="E950" s="59">
        <v>24.3</v>
      </c>
      <c r="F950" s="59">
        <v>59.1</v>
      </c>
      <c r="G950" s="59">
        <v>3.2</v>
      </c>
      <c r="H950" s="59" t="s">
        <v>1456</v>
      </c>
      <c r="I950" s="59">
        <v>15</v>
      </c>
      <c r="J950" s="109">
        <f t="shared" si="28"/>
        <v>7.5</v>
      </c>
      <c r="K950" s="172">
        <v>15</v>
      </c>
      <c r="L950" s="142" t="s">
        <v>634</v>
      </c>
      <c r="M950" s="170"/>
    </row>
    <row r="951" spans="1:13">
      <c r="A951" s="2"/>
      <c r="B951" s="61" t="s">
        <v>1049</v>
      </c>
      <c r="C951" s="59">
        <v>433</v>
      </c>
      <c r="D951" s="59">
        <v>6.6</v>
      </c>
      <c r="E951" s="59">
        <v>14.2</v>
      </c>
      <c r="F951" s="59">
        <v>72.400000000000006</v>
      </c>
      <c r="G951" s="59">
        <v>3.4</v>
      </c>
      <c r="H951" s="59" t="s">
        <v>1160</v>
      </c>
      <c r="I951" s="59">
        <v>112</v>
      </c>
      <c r="J951" s="109">
        <f t="shared" si="28"/>
        <v>14</v>
      </c>
      <c r="K951" s="172">
        <v>112</v>
      </c>
      <c r="L951" s="142" t="s">
        <v>512</v>
      </c>
      <c r="M951" s="170"/>
    </row>
    <row r="952" spans="1:13">
      <c r="A952" s="2"/>
      <c r="B952" s="61" t="s">
        <v>1397</v>
      </c>
      <c r="C952" s="59">
        <v>404</v>
      </c>
      <c r="D952" s="59">
        <v>3.6</v>
      </c>
      <c r="E952" s="59">
        <v>12.7</v>
      </c>
      <c r="F952" s="59">
        <v>72.2</v>
      </c>
      <c r="G952" s="59">
        <v>1.8</v>
      </c>
      <c r="H952" s="59" t="s">
        <v>1456</v>
      </c>
      <c r="I952" s="59">
        <v>24</v>
      </c>
      <c r="J952" s="109">
        <f t="shared" si="28"/>
        <v>12</v>
      </c>
      <c r="K952" s="172">
        <v>24</v>
      </c>
      <c r="L952" s="142" t="s">
        <v>634</v>
      </c>
      <c r="M952" s="170"/>
    </row>
    <row r="953" spans="1:13">
      <c r="A953" s="2"/>
      <c r="B953" s="61" t="s">
        <v>1050</v>
      </c>
      <c r="C953" s="59">
        <v>348</v>
      </c>
      <c r="D953" s="59">
        <v>3.7</v>
      </c>
      <c r="E953" s="59">
        <v>7.3</v>
      </c>
      <c r="F953" s="59">
        <v>70.900000000000006</v>
      </c>
      <c r="G953" s="59">
        <v>4.5999999999999996</v>
      </c>
      <c r="H953" s="59" t="s">
        <v>965</v>
      </c>
      <c r="I953" s="59">
        <v>43</v>
      </c>
      <c r="J953" s="109">
        <f t="shared" ref="J953:J984" si="29">I953*VLOOKUP(H953,Fractional,2,FALSE)</f>
        <v>21.5</v>
      </c>
      <c r="K953" s="172">
        <v>43</v>
      </c>
      <c r="L953" s="142" t="s">
        <v>635</v>
      </c>
      <c r="M953" s="170"/>
    </row>
    <row r="954" spans="1:13">
      <c r="A954" s="2"/>
      <c r="B954" s="61" t="s">
        <v>1051</v>
      </c>
      <c r="C954" s="59">
        <v>378</v>
      </c>
      <c r="D954" s="59">
        <v>4.2</v>
      </c>
      <c r="E954" s="59">
        <v>2.7</v>
      </c>
      <c r="F954" s="59">
        <v>84</v>
      </c>
      <c r="G954" s="59">
        <v>1.6</v>
      </c>
      <c r="H954" s="59" t="s">
        <v>1456</v>
      </c>
      <c r="I954" s="59">
        <v>8</v>
      </c>
      <c r="J954" s="109">
        <f t="shared" si="29"/>
        <v>4</v>
      </c>
      <c r="K954" s="172">
        <v>8</v>
      </c>
      <c r="L954" s="142" t="s">
        <v>634</v>
      </c>
      <c r="M954" s="170"/>
    </row>
    <row r="955" spans="1:13">
      <c r="A955" s="2"/>
      <c r="B955" s="61" t="s">
        <v>899</v>
      </c>
      <c r="C955" s="59">
        <v>349</v>
      </c>
      <c r="D955" s="59">
        <v>5</v>
      </c>
      <c r="E955" s="59">
        <v>3.7</v>
      </c>
      <c r="F955" s="59">
        <v>78.3</v>
      </c>
      <c r="G955" s="59">
        <v>2.8</v>
      </c>
      <c r="H955" s="59" t="s">
        <v>1456</v>
      </c>
      <c r="I955" s="59">
        <v>21</v>
      </c>
      <c r="J955" s="109">
        <f t="shared" si="29"/>
        <v>10.5</v>
      </c>
      <c r="K955" s="172">
        <v>21</v>
      </c>
      <c r="L955" s="142" t="s">
        <v>634</v>
      </c>
      <c r="M955" s="170"/>
    </row>
    <row r="956" spans="1:13">
      <c r="A956" s="2"/>
      <c r="B956" s="61" t="s">
        <v>1052</v>
      </c>
      <c r="C956" s="59">
        <v>416</v>
      </c>
      <c r="D956" s="59">
        <v>5.6</v>
      </c>
      <c r="E956" s="59">
        <v>9.8000000000000007</v>
      </c>
      <c r="F956" s="59">
        <v>76.900000000000006</v>
      </c>
      <c r="G956" s="59">
        <v>2.2000000000000002</v>
      </c>
      <c r="H956" s="59" t="s">
        <v>1456</v>
      </c>
      <c r="I956" s="59">
        <v>7</v>
      </c>
      <c r="J956" s="109">
        <f t="shared" si="29"/>
        <v>3.5</v>
      </c>
      <c r="K956" s="172">
        <v>7</v>
      </c>
      <c r="L956" s="142" t="s">
        <v>634</v>
      </c>
      <c r="M956" s="170"/>
    </row>
    <row r="957" spans="1:13">
      <c r="A957" s="2"/>
      <c r="B957" s="61" t="s">
        <v>900</v>
      </c>
      <c r="C957" s="59">
        <v>423</v>
      </c>
      <c r="D957" s="59">
        <v>6.9</v>
      </c>
      <c r="E957" s="59">
        <v>10.1</v>
      </c>
      <c r="F957" s="59">
        <v>76.8</v>
      </c>
      <c r="G957" s="59">
        <v>2.8</v>
      </c>
      <c r="H957" s="59" t="s">
        <v>104</v>
      </c>
      <c r="I957" s="59">
        <v>28</v>
      </c>
      <c r="J957" s="109">
        <f t="shared" si="29"/>
        <v>14</v>
      </c>
      <c r="K957" s="172">
        <v>28</v>
      </c>
      <c r="L957" s="142" t="s">
        <v>537</v>
      </c>
      <c r="M957" s="170"/>
    </row>
    <row r="958" spans="1:13">
      <c r="A958" s="2"/>
      <c r="B958" s="61" t="s">
        <v>901</v>
      </c>
      <c r="C958" s="59">
        <v>365</v>
      </c>
      <c r="D958" s="59">
        <v>10.6</v>
      </c>
      <c r="E958" s="59">
        <v>9.1</v>
      </c>
      <c r="F958" s="59">
        <v>59.7</v>
      </c>
      <c r="G958" s="59">
        <v>1</v>
      </c>
      <c r="H958" s="59" t="s">
        <v>966</v>
      </c>
      <c r="I958" s="59">
        <v>13</v>
      </c>
      <c r="J958" s="109">
        <f t="shared" si="29"/>
        <v>6.5</v>
      </c>
      <c r="K958" s="172">
        <v>13</v>
      </c>
      <c r="L958" s="142" t="s">
        <v>636</v>
      </c>
      <c r="M958" s="170"/>
    </row>
    <row r="959" spans="1:13">
      <c r="A959" s="2"/>
      <c r="B959" s="61" t="s">
        <v>902</v>
      </c>
      <c r="C959" s="59">
        <v>421</v>
      </c>
      <c r="D959" s="59">
        <v>4</v>
      </c>
      <c r="E959" s="59">
        <v>16.899999999999999</v>
      </c>
      <c r="F959" s="59">
        <v>67.7</v>
      </c>
      <c r="G959" s="59">
        <v>2</v>
      </c>
      <c r="H959" s="59" t="s">
        <v>967</v>
      </c>
      <c r="I959" s="59">
        <v>28</v>
      </c>
      <c r="J959" s="109">
        <f t="shared" si="29"/>
        <v>14</v>
      </c>
      <c r="K959" s="172">
        <v>28</v>
      </c>
      <c r="L959" s="142" t="s">
        <v>637</v>
      </c>
      <c r="M959" s="170"/>
    </row>
    <row r="960" spans="1:13">
      <c r="A960" s="2"/>
      <c r="B960" s="61" t="s">
        <v>1398</v>
      </c>
      <c r="C960" s="59">
        <v>450</v>
      </c>
      <c r="D960" s="59">
        <v>6.2</v>
      </c>
      <c r="E960" s="59">
        <v>18.100000000000001</v>
      </c>
      <c r="F960" s="59">
        <v>68.7</v>
      </c>
      <c r="G960" s="59">
        <v>2.8</v>
      </c>
      <c r="H960" s="59" t="s">
        <v>1456</v>
      </c>
      <c r="I960" s="59">
        <v>25</v>
      </c>
      <c r="J960" s="109">
        <f t="shared" si="29"/>
        <v>12.5</v>
      </c>
      <c r="K960" s="172">
        <v>25</v>
      </c>
      <c r="L960" s="142" t="s">
        <v>634</v>
      </c>
      <c r="M960" s="170"/>
    </row>
    <row r="961" spans="1:13">
      <c r="A961" s="2"/>
      <c r="B961" s="61" t="s">
        <v>1399</v>
      </c>
      <c r="C961" s="59">
        <v>477</v>
      </c>
      <c r="D961" s="59">
        <v>9.6</v>
      </c>
      <c r="E961" s="59">
        <v>23.6</v>
      </c>
      <c r="F961" s="59">
        <v>58.9</v>
      </c>
      <c r="G961" s="59">
        <v>1.8</v>
      </c>
      <c r="H961" s="59" t="s">
        <v>1456</v>
      </c>
      <c r="I961" s="59">
        <v>15</v>
      </c>
      <c r="J961" s="109">
        <f t="shared" si="29"/>
        <v>7.5</v>
      </c>
      <c r="K961" s="172">
        <v>15</v>
      </c>
      <c r="L961" s="142" t="s">
        <v>634</v>
      </c>
      <c r="M961" s="170"/>
    </row>
    <row r="962" spans="1:13">
      <c r="A962" s="2"/>
      <c r="B962" s="61" t="s">
        <v>1166</v>
      </c>
      <c r="C962" s="59">
        <v>401</v>
      </c>
      <c r="D962" s="59">
        <v>4.0999999999999996</v>
      </c>
      <c r="E962" s="59">
        <v>13.6</v>
      </c>
      <c r="F962" s="59">
        <v>68</v>
      </c>
      <c r="G962" s="59">
        <v>1.2</v>
      </c>
      <c r="H962" s="59" t="s">
        <v>1456</v>
      </c>
      <c r="I962" s="59">
        <v>15</v>
      </c>
      <c r="J962" s="109">
        <f t="shared" si="29"/>
        <v>7.5</v>
      </c>
      <c r="K962" s="172">
        <v>15</v>
      </c>
      <c r="L962" s="142" t="s">
        <v>634</v>
      </c>
      <c r="M962" s="170"/>
    </row>
    <row r="963" spans="1:13">
      <c r="A963" s="2"/>
      <c r="B963" s="61" t="s">
        <v>1400</v>
      </c>
      <c r="C963" s="59">
        <v>431</v>
      </c>
      <c r="D963" s="59">
        <v>4.0999999999999996</v>
      </c>
      <c r="E963" s="59">
        <v>13</v>
      </c>
      <c r="F963" s="59">
        <v>76.8</v>
      </c>
      <c r="G963" s="59">
        <v>0.9</v>
      </c>
      <c r="H963" s="59" t="s">
        <v>1456</v>
      </c>
      <c r="I963" s="59">
        <v>7</v>
      </c>
      <c r="J963" s="109">
        <f t="shared" si="29"/>
        <v>3.5</v>
      </c>
      <c r="K963" s="172">
        <v>7</v>
      </c>
      <c r="L963" s="142" t="s">
        <v>634</v>
      </c>
      <c r="M963" s="170"/>
    </row>
    <row r="964" spans="1:13">
      <c r="A964" s="2"/>
      <c r="B964" s="61" t="s">
        <v>1120</v>
      </c>
      <c r="C964" s="59">
        <v>436</v>
      </c>
      <c r="D964" s="59">
        <v>9</v>
      </c>
      <c r="E964" s="59">
        <v>14.3</v>
      </c>
      <c r="F964" s="59">
        <v>71.7</v>
      </c>
      <c r="G964" s="59">
        <v>8.4</v>
      </c>
      <c r="H964" s="59" t="s">
        <v>114</v>
      </c>
      <c r="I964" s="59">
        <v>57</v>
      </c>
      <c r="J964" s="109">
        <f t="shared" si="29"/>
        <v>14.25</v>
      </c>
      <c r="K964" s="172">
        <v>28.5</v>
      </c>
      <c r="L964" s="148" t="s">
        <v>537</v>
      </c>
      <c r="M964" s="170"/>
    </row>
    <row r="965" spans="1:13">
      <c r="A965" s="2"/>
      <c r="B965" s="61" t="s">
        <v>1121</v>
      </c>
      <c r="C965" s="59">
        <v>438</v>
      </c>
      <c r="D965" s="59">
        <v>9.4</v>
      </c>
      <c r="E965" s="59">
        <v>14.2</v>
      </c>
      <c r="F965" s="59">
        <v>71.599999999999994</v>
      </c>
      <c r="G965" s="59">
        <v>8</v>
      </c>
      <c r="H965" s="59" t="s">
        <v>114</v>
      </c>
      <c r="I965" s="59">
        <v>57</v>
      </c>
      <c r="J965" s="109">
        <f t="shared" si="29"/>
        <v>14.25</v>
      </c>
      <c r="K965" s="172">
        <v>28.5</v>
      </c>
      <c r="L965" s="148" t="s">
        <v>537</v>
      </c>
      <c r="M965" s="170"/>
    </row>
    <row r="966" spans="1:13">
      <c r="A966" s="2"/>
      <c r="B966" s="61" t="s">
        <v>1214</v>
      </c>
      <c r="C966" s="59">
        <v>446</v>
      </c>
      <c r="D966" s="59">
        <v>8.5</v>
      </c>
      <c r="E966" s="59">
        <v>15.64</v>
      </c>
      <c r="F966" s="59">
        <v>71.86</v>
      </c>
      <c r="G966" s="59">
        <v>6.9</v>
      </c>
      <c r="H966" s="59" t="s">
        <v>114</v>
      </c>
      <c r="I966" s="59">
        <v>57</v>
      </c>
      <c r="J966" s="109">
        <f t="shared" si="29"/>
        <v>14.25</v>
      </c>
      <c r="K966" s="172">
        <v>28.5</v>
      </c>
      <c r="L966" s="148" t="s">
        <v>537</v>
      </c>
      <c r="M966" s="170"/>
    </row>
    <row r="967" spans="1:13">
      <c r="A967" s="2"/>
      <c r="B967" s="61" t="s">
        <v>1167</v>
      </c>
      <c r="C967" s="59">
        <v>503</v>
      </c>
      <c r="D967" s="59">
        <v>10.1</v>
      </c>
      <c r="E967" s="59">
        <v>25.3</v>
      </c>
      <c r="F967" s="59">
        <v>58.2</v>
      </c>
      <c r="G967" s="59">
        <v>2.4</v>
      </c>
      <c r="H967" s="59" t="s">
        <v>1168</v>
      </c>
      <c r="I967" s="59">
        <v>62</v>
      </c>
      <c r="J967" s="109">
        <f t="shared" si="29"/>
        <v>15.5</v>
      </c>
      <c r="K967" s="172">
        <v>62</v>
      </c>
      <c r="L967" s="142" t="s">
        <v>512</v>
      </c>
      <c r="M967" s="170"/>
    </row>
    <row r="968" spans="1:13">
      <c r="A968" s="2"/>
      <c r="B968" s="61" t="s">
        <v>1401</v>
      </c>
      <c r="C968" s="59">
        <v>390</v>
      </c>
      <c r="D968" s="59">
        <v>12.1</v>
      </c>
      <c r="E968" s="59">
        <v>3.2</v>
      </c>
      <c r="F968" s="59">
        <v>76.599999999999994</v>
      </c>
      <c r="G968" s="59">
        <v>6.3</v>
      </c>
      <c r="H968" s="59" t="s">
        <v>1040</v>
      </c>
      <c r="I968" s="59">
        <v>33</v>
      </c>
      <c r="J968" s="109">
        <f t="shared" si="29"/>
        <v>8.25</v>
      </c>
      <c r="K968" s="172">
        <v>33</v>
      </c>
      <c r="L968" s="142" t="s">
        <v>512</v>
      </c>
      <c r="M968" s="170"/>
    </row>
    <row r="969" spans="1:13">
      <c r="A969" s="2"/>
      <c r="B969" s="61" t="s">
        <v>1170</v>
      </c>
      <c r="C969" s="59">
        <v>455</v>
      </c>
      <c r="D969" s="59">
        <v>7.6</v>
      </c>
      <c r="E969" s="59">
        <v>15.8</v>
      </c>
      <c r="F969" s="59">
        <v>69.7</v>
      </c>
      <c r="G969" s="59">
        <v>1.9</v>
      </c>
      <c r="H969" s="59" t="s">
        <v>1457</v>
      </c>
      <c r="I969" s="59">
        <v>11</v>
      </c>
      <c r="J969" s="109">
        <f t="shared" si="29"/>
        <v>5.5</v>
      </c>
      <c r="K969" s="172">
        <v>11</v>
      </c>
      <c r="L969" s="142" t="s">
        <v>638</v>
      </c>
      <c r="M969" s="170"/>
    </row>
    <row r="970" spans="1:13">
      <c r="A970" s="2"/>
      <c r="B970" s="61" t="s">
        <v>1171</v>
      </c>
      <c r="C970" s="59">
        <v>407</v>
      </c>
      <c r="D970" s="59">
        <v>13.5</v>
      </c>
      <c r="E970" s="59">
        <v>7.2</v>
      </c>
      <c r="F970" s="59">
        <v>72.3</v>
      </c>
      <c r="G970" s="62"/>
      <c r="H970" s="59" t="s">
        <v>1172</v>
      </c>
      <c r="I970" s="59">
        <v>10</v>
      </c>
      <c r="J970" s="109">
        <f t="shared" si="29"/>
        <v>5</v>
      </c>
      <c r="K970" s="172">
        <v>10</v>
      </c>
      <c r="L970" s="142" t="s">
        <v>639</v>
      </c>
      <c r="M970" s="170"/>
    </row>
    <row r="971" spans="1:13">
      <c r="A971" s="2"/>
      <c r="B971" s="61" t="s">
        <v>903</v>
      </c>
      <c r="C971" s="59">
        <v>481</v>
      </c>
      <c r="D971" s="59">
        <v>9.1999999999999993</v>
      </c>
      <c r="E971" s="59">
        <v>22.3</v>
      </c>
      <c r="F971" s="59">
        <v>60.8</v>
      </c>
      <c r="G971" s="59">
        <v>3.6</v>
      </c>
      <c r="H971" s="59" t="s">
        <v>1457</v>
      </c>
      <c r="I971" s="59">
        <v>7</v>
      </c>
      <c r="J971" s="109">
        <f t="shared" si="29"/>
        <v>3.5</v>
      </c>
      <c r="K971" s="172">
        <v>7</v>
      </c>
      <c r="L971" s="142" t="s">
        <v>638</v>
      </c>
      <c r="M971" s="170"/>
    </row>
    <row r="972" spans="1:13">
      <c r="A972" s="2"/>
      <c r="B972" s="61" t="s">
        <v>904</v>
      </c>
      <c r="C972" s="59">
        <v>381</v>
      </c>
      <c r="D972" s="59">
        <v>9</v>
      </c>
      <c r="E972" s="59">
        <v>9.1999999999999993</v>
      </c>
      <c r="F972" s="59">
        <v>73.8</v>
      </c>
      <c r="G972" s="59">
        <v>20.9</v>
      </c>
      <c r="H972" s="59" t="s">
        <v>1457</v>
      </c>
      <c r="I972" s="59">
        <v>22</v>
      </c>
      <c r="J972" s="109">
        <f t="shared" si="29"/>
        <v>11</v>
      </c>
      <c r="K972" s="172">
        <v>22</v>
      </c>
      <c r="L972" s="142" t="s">
        <v>638</v>
      </c>
      <c r="M972" s="170"/>
    </row>
    <row r="973" spans="1:13">
      <c r="A973" s="2"/>
      <c r="B973" s="61" t="s">
        <v>1173</v>
      </c>
      <c r="C973" s="59">
        <v>334</v>
      </c>
      <c r="D973" s="59">
        <v>9.6</v>
      </c>
      <c r="E973" s="59">
        <v>0.9</v>
      </c>
      <c r="F973" s="59">
        <v>80.400000000000006</v>
      </c>
      <c r="G973" s="59">
        <v>22.9</v>
      </c>
      <c r="H973" s="59" t="s">
        <v>1457</v>
      </c>
      <c r="I973" s="59">
        <v>11</v>
      </c>
      <c r="J973" s="109">
        <f t="shared" si="29"/>
        <v>5.5</v>
      </c>
      <c r="K973" s="172">
        <v>11</v>
      </c>
      <c r="L973" s="142" t="s">
        <v>638</v>
      </c>
      <c r="M973" s="170"/>
    </row>
    <row r="974" spans="1:13">
      <c r="A974" s="2"/>
      <c r="B974" s="61" t="s">
        <v>905</v>
      </c>
      <c r="C974" s="59">
        <v>428</v>
      </c>
      <c r="D974" s="59">
        <v>9.2200000000000006</v>
      </c>
      <c r="E974" s="59">
        <v>11.35</v>
      </c>
      <c r="F974" s="59">
        <v>70.91</v>
      </c>
      <c r="G974" s="59">
        <v>3</v>
      </c>
      <c r="H974" s="59" t="s">
        <v>101</v>
      </c>
      <c r="I974" s="59">
        <v>45</v>
      </c>
      <c r="J974" s="109">
        <f t="shared" si="29"/>
        <v>5.625</v>
      </c>
      <c r="K974" s="172">
        <v>45</v>
      </c>
      <c r="L974" s="142" t="s">
        <v>512</v>
      </c>
      <c r="M974" s="170"/>
    </row>
    <row r="975" spans="1:13">
      <c r="A975" s="2"/>
      <c r="B975" s="61" t="s">
        <v>906</v>
      </c>
      <c r="C975" s="59">
        <v>362</v>
      </c>
      <c r="D975" s="59">
        <v>9</v>
      </c>
      <c r="E975" s="59">
        <v>25.9</v>
      </c>
      <c r="F975" s="59">
        <v>22.8</v>
      </c>
      <c r="G975" s="59">
        <v>0.8</v>
      </c>
      <c r="H975" s="59" t="s">
        <v>968</v>
      </c>
      <c r="I975" s="59">
        <v>48</v>
      </c>
      <c r="J975" s="109">
        <f t="shared" si="29"/>
        <v>24</v>
      </c>
      <c r="K975" s="172">
        <v>48</v>
      </c>
      <c r="L975" s="142" t="s">
        <v>640</v>
      </c>
      <c r="M975" s="170"/>
    </row>
    <row r="976" spans="1:13">
      <c r="A976" s="2"/>
      <c r="B976" s="61" t="s">
        <v>907</v>
      </c>
      <c r="C976" s="59">
        <v>258</v>
      </c>
      <c r="D976" s="59">
        <v>6.7</v>
      </c>
      <c r="E976" s="59">
        <v>15.5</v>
      </c>
      <c r="F976" s="59">
        <v>22.9</v>
      </c>
      <c r="G976" s="59">
        <v>0.4</v>
      </c>
      <c r="H976" s="59" t="s">
        <v>969</v>
      </c>
      <c r="I976" s="59">
        <v>130</v>
      </c>
      <c r="J976" s="109">
        <f t="shared" si="29"/>
        <v>65</v>
      </c>
      <c r="K976" s="172">
        <v>130</v>
      </c>
      <c r="L976" s="142" t="s">
        <v>641</v>
      </c>
      <c r="M976" s="170"/>
    </row>
    <row r="977" spans="1:13">
      <c r="A977" s="2"/>
      <c r="B977" s="61" t="s">
        <v>1215</v>
      </c>
      <c r="C977" s="59">
        <v>404</v>
      </c>
      <c r="D977" s="59">
        <v>5.0999999999999996</v>
      </c>
      <c r="E977" s="59">
        <v>13.5</v>
      </c>
      <c r="F977" s="59">
        <v>73</v>
      </c>
      <c r="G977" s="59">
        <v>2.2000000000000002</v>
      </c>
      <c r="H977" s="59" t="s">
        <v>1216</v>
      </c>
      <c r="I977" s="59">
        <v>28</v>
      </c>
      <c r="J977" s="110">
        <f t="shared" si="29"/>
        <v>14</v>
      </c>
      <c r="K977" s="172">
        <v>28</v>
      </c>
      <c r="L977" s="142" t="s">
        <v>642</v>
      </c>
      <c r="M977" s="170"/>
    </row>
    <row r="978" spans="1:13">
      <c r="A978" s="2"/>
      <c r="B978" s="61" t="s">
        <v>1175</v>
      </c>
      <c r="C978" s="59">
        <v>254</v>
      </c>
      <c r="D978" s="59">
        <v>7.4</v>
      </c>
      <c r="E978" s="59">
        <v>8.6999999999999993</v>
      </c>
      <c r="F978" s="59">
        <v>37.1</v>
      </c>
      <c r="G978" s="59">
        <v>2.5</v>
      </c>
      <c r="H978" s="59" t="s">
        <v>970</v>
      </c>
      <c r="I978" s="59">
        <v>57</v>
      </c>
      <c r="J978" s="109">
        <f t="shared" si="29"/>
        <v>28.5</v>
      </c>
      <c r="K978" s="172">
        <v>57</v>
      </c>
      <c r="L978" s="142" t="s">
        <v>643</v>
      </c>
      <c r="M978" s="170"/>
    </row>
    <row r="979" spans="1:13">
      <c r="A979" s="2"/>
      <c r="B979" s="61" t="s">
        <v>1174</v>
      </c>
      <c r="C979" s="59">
        <v>406</v>
      </c>
      <c r="D979" s="59">
        <v>8.1999999999999993</v>
      </c>
      <c r="E979" s="59">
        <v>21</v>
      </c>
      <c r="F979" s="59">
        <v>45.8</v>
      </c>
      <c r="G979" s="59">
        <v>2.6</v>
      </c>
      <c r="H979" s="59" t="s">
        <v>970</v>
      </c>
      <c r="I979" s="59">
        <v>28</v>
      </c>
      <c r="J979" s="109">
        <f t="shared" si="29"/>
        <v>14</v>
      </c>
      <c r="K979" s="172">
        <v>28</v>
      </c>
      <c r="L979" s="142" t="s">
        <v>643</v>
      </c>
      <c r="M979" s="170"/>
    </row>
    <row r="980" spans="1:13">
      <c r="A980" s="2"/>
      <c r="B980" s="61" t="s">
        <v>1176</v>
      </c>
      <c r="C980" s="59">
        <v>414</v>
      </c>
      <c r="D980" s="59">
        <v>9.1999999999999993</v>
      </c>
      <c r="E980" s="59">
        <v>20.9</v>
      </c>
      <c r="F980" s="59">
        <v>47</v>
      </c>
      <c r="G980" s="59">
        <v>2.6</v>
      </c>
      <c r="H980" s="59" t="s">
        <v>970</v>
      </c>
      <c r="I980" s="59">
        <v>42</v>
      </c>
      <c r="J980" s="109">
        <f t="shared" si="29"/>
        <v>21</v>
      </c>
      <c r="K980" s="172">
        <v>42</v>
      </c>
      <c r="L980" s="142" t="s">
        <v>643</v>
      </c>
      <c r="M980" s="170"/>
    </row>
    <row r="981" spans="1:13">
      <c r="A981" s="2"/>
      <c r="B981" s="61" t="s">
        <v>1177</v>
      </c>
      <c r="C981" s="59">
        <v>407</v>
      </c>
      <c r="D981" s="59">
        <v>11.9</v>
      </c>
      <c r="E981" s="59">
        <v>6.6</v>
      </c>
      <c r="F981" s="59">
        <v>73.5</v>
      </c>
      <c r="G981" s="59">
        <v>5.0999999999999996</v>
      </c>
      <c r="H981" s="59" t="s">
        <v>971</v>
      </c>
      <c r="I981" s="59">
        <v>14</v>
      </c>
      <c r="J981" s="109">
        <f t="shared" si="29"/>
        <v>14</v>
      </c>
      <c r="K981" s="172">
        <v>28</v>
      </c>
      <c r="L981" s="148" t="s">
        <v>537</v>
      </c>
      <c r="M981" s="170"/>
    </row>
    <row r="982" spans="1:13">
      <c r="A982" s="2"/>
      <c r="B982" s="61" t="s">
        <v>1179</v>
      </c>
      <c r="C982" s="59">
        <v>374</v>
      </c>
      <c r="D982" s="59">
        <v>8</v>
      </c>
      <c r="E982" s="59">
        <v>21.9</v>
      </c>
      <c r="F982" s="59">
        <v>37.200000000000003</v>
      </c>
      <c r="G982" s="59">
        <v>1</v>
      </c>
      <c r="H982" s="59" t="s">
        <v>1180</v>
      </c>
      <c r="I982" s="59">
        <v>71</v>
      </c>
      <c r="J982" s="109">
        <f t="shared" si="29"/>
        <v>35.5</v>
      </c>
      <c r="K982" s="172">
        <v>71</v>
      </c>
      <c r="L982" s="142" t="s">
        <v>573</v>
      </c>
      <c r="M982" s="170"/>
    </row>
    <row r="983" spans="1:13">
      <c r="A983" s="2"/>
      <c r="B983" s="61" t="s">
        <v>1178</v>
      </c>
      <c r="C983" s="59">
        <v>403</v>
      </c>
      <c r="D983" s="59">
        <v>7</v>
      </c>
      <c r="E983" s="59">
        <v>22.4</v>
      </c>
      <c r="F983" s="59">
        <v>44.6</v>
      </c>
      <c r="G983" s="59">
        <v>1.3</v>
      </c>
      <c r="H983" s="59" t="s">
        <v>1448</v>
      </c>
      <c r="I983" s="59">
        <v>142</v>
      </c>
      <c r="J983" s="109">
        <f t="shared" si="29"/>
        <v>142</v>
      </c>
      <c r="K983" s="172">
        <v>142</v>
      </c>
      <c r="L983" s="142" t="s">
        <v>594</v>
      </c>
      <c r="M983" s="170"/>
    </row>
    <row r="984" spans="1:13">
      <c r="A984" s="2"/>
      <c r="B984" s="61" t="s">
        <v>1181</v>
      </c>
      <c r="C984" s="59">
        <v>371</v>
      </c>
      <c r="D984" s="59">
        <v>5.4</v>
      </c>
      <c r="E984" s="59">
        <v>18.5</v>
      </c>
      <c r="F984" s="59">
        <v>47.8</v>
      </c>
      <c r="G984" s="59">
        <v>1.9</v>
      </c>
      <c r="H984" s="59" t="s">
        <v>1448</v>
      </c>
      <c r="I984" s="59">
        <v>142</v>
      </c>
      <c r="J984" s="109">
        <f t="shared" si="29"/>
        <v>142</v>
      </c>
      <c r="K984" s="172">
        <v>142</v>
      </c>
      <c r="L984" s="142" t="s">
        <v>594</v>
      </c>
      <c r="M984" s="170"/>
    </row>
    <row r="985" spans="1:13">
      <c r="A985" s="2"/>
      <c r="B985" s="61" t="s">
        <v>908</v>
      </c>
      <c r="C985" s="59">
        <v>430</v>
      </c>
      <c r="D985" s="59">
        <v>7.1</v>
      </c>
      <c r="E985" s="59">
        <v>25.2</v>
      </c>
      <c r="F985" s="59">
        <v>45.7</v>
      </c>
      <c r="G985" s="59">
        <v>2</v>
      </c>
      <c r="H985" s="59" t="s">
        <v>1180</v>
      </c>
      <c r="I985" s="59">
        <v>65</v>
      </c>
      <c r="J985" s="109">
        <f t="shared" ref="J985:J1004" si="30">I985*VLOOKUP(H985,Fractional,2,FALSE)</f>
        <v>32.5</v>
      </c>
      <c r="K985" s="172">
        <v>65</v>
      </c>
      <c r="L985" s="142" t="s">
        <v>573</v>
      </c>
      <c r="M985" s="170"/>
    </row>
    <row r="986" spans="1:13">
      <c r="A986" s="2"/>
      <c r="B986" s="61" t="s">
        <v>909</v>
      </c>
      <c r="C986" s="59">
        <v>417</v>
      </c>
      <c r="D986" s="59">
        <v>4.5</v>
      </c>
      <c r="E986" s="59">
        <v>19.899999999999999</v>
      </c>
      <c r="F986" s="59">
        <v>57.4</v>
      </c>
      <c r="G986" s="59">
        <v>2.2000000000000002</v>
      </c>
      <c r="H986" s="59" t="s">
        <v>972</v>
      </c>
      <c r="I986" s="59">
        <v>60</v>
      </c>
      <c r="J986" s="109">
        <f t="shared" si="30"/>
        <v>30</v>
      </c>
      <c r="K986" s="172">
        <v>60</v>
      </c>
      <c r="L986" s="142" t="s">
        <v>644</v>
      </c>
      <c r="M986" s="170"/>
    </row>
    <row r="987" spans="1:13">
      <c r="A987" s="2"/>
      <c r="B987" s="61" t="s">
        <v>1217</v>
      </c>
      <c r="C987" s="59">
        <v>471</v>
      </c>
      <c r="D987" s="59">
        <v>10.1</v>
      </c>
      <c r="E987" s="59">
        <v>19.8</v>
      </c>
      <c r="F987" s="59">
        <v>64.400000000000006</v>
      </c>
      <c r="G987" s="59">
        <v>5.3</v>
      </c>
      <c r="H987" s="59" t="s">
        <v>75</v>
      </c>
      <c r="I987" s="59">
        <v>28</v>
      </c>
      <c r="J987" s="109">
        <f t="shared" si="30"/>
        <v>14</v>
      </c>
      <c r="K987" s="172">
        <v>28</v>
      </c>
      <c r="L987" s="142" t="s">
        <v>645</v>
      </c>
      <c r="M987" s="170"/>
    </row>
    <row r="988" spans="1:13">
      <c r="A988" s="2"/>
      <c r="B988" s="61" t="s">
        <v>1249</v>
      </c>
      <c r="C988" s="59">
        <v>304</v>
      </c>
      <c r="D988" s="59">
        <v>0.3</v>
      </c>
      <c r="E988" s="59">
        <v>0</v>
      </c>
      <c r="F988" s="59">
        <v>82.4</v>
      </c>
      <c r="G988" s="59">
        <v>0.2</v>
      </c>
      <c r="H988" s="59" t="s">
        <v>102</v>
      </c>
      <c r="I988" s="59">
        <v>21</v>
      </c>
      <c r="J988" s="109">
        <f t="shared" si="30"/>
        <v>10.5</v>
      </c>
      <c r="K988" s="172">
        <v>21</v>
      </c>
      <c r="L988" s="142" t="s">
        <v>536</v>
      </c>
      <c r="M988" s="170"/>
    </row>
    <row r="989" spans="1:13">
      <c r="A989" s="2"/>
      <c r="B989" s="61" t="s">
        <v>1247</v>
      </c>
      <c r="C989" s="59">
        <v>216</v>
      </c>
      <c r="D989" s="59">
        <v>3.8</v>
      </c>
      <c r="E989" s="59">
        <v>11</v>
      </c>
      <c r="F989" s="59">
        <v>28.2</v>
      </c>
      <c r="G989" s="59">
        <v>1.2</v>
      </c>
      <c r="H989" s="59" t="s">
        <v>920</v>
      </c>
      <c r="I989" s="59">
        <v>66</v>
      </c>
      <c r="J989" s="109">
        <f t="shared" si="30"/>
        <v>16.5</v>
      </c>
      <c r="K989" s="172">
        <v>132</v>
      </c>
      <c r="L989" s="148" t="s">
        <v>512</v>
      </c>
      <c r="M989" s="170"/>
    </row>
    <row r="990" spans="1:13">
      <c r="A990" s="2"/>
      <c r="B990" s="61" t="s">
        <v>1248</v>
      </c>
      <c r="C990" s="59">
        <v>192</v>
      </c>
      <c r="D990" s="59">
        <v>3.2</v>
      </c>
      <c r="E990" s="59">
        <v>8.4</v>
      </c>
      <c r="F990" s="59">
        <v>27.6</v>
      </c>
      <c r="G990" s="59">
        <v>0.9</v>
      </c>
      <c r="H990" s="59" t="s">
        <v>920</v>
      </c>
      <c r="I990" s="59">
        <v>66</v>
      </c>
      <c r="J990" s="109">
        <f t="shared" si="30"/>
        <v>16.5</v>
      </c>
      <c r="K990" s="172">
        <v>132</v>
      </c>
      <c r="L990" s="148" t="s">
        <v>512</v>
      </c>
      <c r="M990" s="170"/>
    </row>
    <row r="991" spans="1:13">
      <c r="A991" s="2"/>
      <c r="B991" s="61" t="s">
        <v>1219</v>
      </c>
      <c r="C991" s="59">
        <v>201</v>
      </c>
      <c r="D991" s="59">
        <v>3.5</v>
      </c>
      <c r="E991" s="59">
        <v>11</v>
      </c>
      <c r="F991" s="59">
        <v>23.6</v>
      </c>
      <c r="G991" s="59">
        <v>0.7</v>
      </c>
      <c r="H991" s="59" t="s">
        <v>920</v>
      </c>
      <c r="I991" s="59">
        <v>66</v>
      </c>
      <c r="J991" s="110">
        <f t="shared" si="30"/>
        <v>16.5</v>
      </c>
      <c r="K991" s="172">
        <v>132</v>
      </c>
      <c r="L991" s="148" t="s">
        <v>512</v>
      </c>
      <c r="M991" s="170"/>
    </row>
    <row r="992" spans="1:13">
      <c r="A992" s="2"/>
      <c r="B992" s="61" t="s">
        <v>1250</v>
      </c>
      <c r="C992" s="59">
        <v>278</v>
      </c>
      <c r="D992" s="59">
        <v>0.37</v>
      </c>
      <c r="E992" s="59">
        <v>7.0000000000000007E-2</v>
      </c>
      <c r="F992" s="59">
        <v>68.86</v>
      </c>
      <c r="G992" s="59">
        <v>1.1000000000000001</v>
      </c>
      <c r="H992" s="59" t="s">
        <v>102</v>
      </c>
      <c r="I992" s="59">
        <v>20</v>
      </c>
      <c r="J992" s="109">
        <f t="shared" si="30"/>
        <v>10</v>
      </c>
      <c r="K992" s="172">
        <v>20</v>
      </c>
      <c r="L992" s="142" t="s">
        <v>536</v>
      </c>
      <c r="M992" s="170"/>
    </row>
    <row r="993" spans="1:13">
      <c r="A993" s="2"/>
      <c r="B993" s="61" t="s">
        <v>1251</v>
      </c>
      <c r="C993" s="59">
        <v>266</v>
      </c>
      <c r="D993" s="59">
        <v>0.15</v>
      </c>
      <c r="E993" s="59">
        <v>0.02</v>
      </c>
      <c r="F993" s="59">
        <v>69.95</v>
      </c>
      <c r="G993" s="59">
        <v>1</v>
      </c>
      <c r="H993" s="59" t="s">
        <v>98</v>
      </c>
      <c r="I993" s="59">
        <v>20</v>
      </c>
      <c r="J993" s="109">
        <f t="shared" si="30"/>
        <v>10</v>
      </c>
      <c r="K993" s="172">
        <v>20</v>
      </c>
      <c r="L993" s="148" t="s">
        <v>536</v>
      </c>
      <c r="M993" s="170"/>
    </row>
    <row r="994" spans="1:13">
      <c r="A994" s="2"/>
      <c r="B994" s="61" t="s">
        <v>1095</v>
      </c>
      <c r="C994" s="59">
        <v>583</v>
      </c>
      <c r="D994" s="59">
        <v>7.29</v>
      </c>
      <c r="E994" s="59">
        <v>43.55</v>
      </c>
      <c r="F994" s="59">
        <v>45.06</v>
      </c>
      <c r="G994" s="59">
        <v>8.1</v>
      </c>
      <c r="H994" s="59" t="s">
        <v>101</v>
      </c>
      <c r="I994" s="59">
        <v>11</v>
      </c>
      <c r="J994" s="109">
        <f t="shared" si="30"/>
        <v>1.375</v>
      </c>
      <c r="K994" s="172">
        <v>11</v>
      </c>
      <c r="L994" s="142" t="s">
        <v>512</v>
      </c>
      <c r="M994" s="170"/>
    </row>
    <row r="995" spans="1:13">
      <c r="A995" s="2"/>
      <c r="B995" s="61" t="s">
        <v>1096</v>
      </c>
      <c r="C995" s="59">
        <v>491</v>
      </c>
      <c r="D995" s="59">
        <v>7.7</v>
      </c>
      <c r="E995" s="59">
        <v>32.4</v>
      </c>
      <c r="F995" s="59">
        <v>52.8</v>
      </c>
      <c r="G995" s="59">
        <v>4.4000000000000004</v>
      </c>
      <c r="H995" s="59" t="s">
        <v>973</v>
      </c>
      <c r="I995" s="59">
        <v>198</v>
      </c>
      <c r="J995" s="109">
        <f t="shared" si="30"/>
        <v>99</v>
      </c>
      <c r="K995" s="172">
        <v>198</v>
      </c>
      <c r="L995" s="142" t="s">
        <v>646</v>
      </c>
      <c r="M995" s="170"/>
    </row>
    <row r="996" spans="1:13">
      <c r="A996" s="2"/>
      <c r="B996" s="61" t="s">
        <v>910</v>
      </c>
      <c r="C996" s="59">
        <v>531</v>
      </c>
      <c r="D996" s="59">
        <v>8.1</v>
      </c>
      <c r="E996" s="59">
        <v>33.9</v>
      </c>
      <c r="F996" s="59">
        <v>51.5</v>
      </c>
      <c r="G996" s="59">
        <v>5.2</v>
      </c>
      <c r="H996" s="59" t="s">
        <v>973</v>
      </c>
      <c r="I996" s="59">
        <v>198</v>
      </c>
      <c r="J996" s="109">
        <f t="shared" si="30"/>
        <v>99</v>
      </c>
      <c r="K996" s="172">
        <v>198</v>
      </c>
      <c r="L996" s="142" t="s">
        <v>646</v>
      </c>
      <c r="M996" s="170"/>
    </row>
    <row r="997" spans="1:13">
      <c r="A997" s="2"/>
      <c r="B997" s="61" t="s">
        <v>1097</v>
      </c>
      <c r="C997" s="59">
        <v>378</v>
      </c>
      <c r="D997" s="59">
        <v>10.34</v>
      </c>
      <c r="E997" s="59">
        <v>2.63</v>
      </c>
      <c r="F997" s="59">
        <v>79.2</v>
      </c>
      <c r="G997" s="59">
        <v>3</v>
      </c>
      <c r="H997" s="59" t="s">
        <v>1098</v>
      </c>
      <c r="I997" s="59">
        <v>60</v>
      </c>
      <c r="J997" s="109">
        <f t="shared" si="30"/>
        <v>6</v>
      </c>
      <c r="K997" s="172">
        <v>6</v>
      </c>
      <c r="L997" s="148" t="s">
        <v>213</v>
      </c>
      <c r="M997" s="170"/>
    </row>
    <row r="998" spans="1:13">
      <c r="A998" s="2"/>
      <c r="B998" s="61" t="s">
        <v>911</v>
      </c>
      <c r="C998" s="59">
        <v>105</v>
      </c>
      <c r="D998" s="59">
        <v>3.15</v>
      </c>
      <c r="E998" s="59">
        <v>1.92</v>
      </c>
      <c r="F998" s="59">
        <v>18.89</v>
      </c>
      <c r="G998" s="59">
        <v>0.4</v>
      </c>
      <c r="H998" s="59" t="s">
        <v>114</v>
      </c>
      <c r="I998" s="59">
        <v>57</v>
      </c>
      <c r="J998" s="110">
        <f t="shared" si="30"/>
        <v>14.25</v>
      </c>
      <c r="K998" s="172">
        <v>28.5</v>
      </c>
      <c r="L998" s="142" t="s">
        <v>537</v>
      </c>
      <c r="M998" s="170"/>
    </row>
    <row r="999" spans="1:13">
      <c r="A999" s="2"/>
      <c r="B999" s="61" t="s">
        <v>912</v>
      </c>
      <c r="C999" s="59">
        <v>101</v>
      </c>
      <c r="D999" s="59">
        <v>2.94</v>
      </c>
      <c r="E999" s="59">
        <v>1.73</v>
      </c>
      <c r="F999" s="59">
        <v>18.53</v>
      </c>
      <c r="G999" s="59">
        <v>0</v>
      </c>
      <c r="H999" s="59" t="s">
        <v>114</v>
      </c>
      <c r="I999" s="59">
        <v>57</v>
      </c>
      <c r="J999" s="110">
        <f t="shared" si="30"/>
        <v>14.25</v>
      </c>
      <c r="K999" s="172">
        <v>28.5</v>
      </c>
      <c r="L999" s="142" t="s">
        <v>537</v>
      </c>
      <c r="M999" s="170"/>
    </row>
    <row r="1000" spans="1:13">
      <c r="A1000" s="2"/>
      <c r="B1000" s="61" t="s">
        <v>1099</v>
      </c>
      <c r="C1000" s="59">
        <v>387</v>
      </c>
      <c r="D1000" s="59">
        <v>8.1999999999999993</v>
      </c>
      <c r="E1000" s="59">
        <v>2.8</v>
      </c>
      <c r="F1000" s="59">
        <v>81.5</v>
      </c>
      <c r="G1000" s="59">
        <v>4.2</v>
      </c>
      <c r="H1000" s="59" t="s">
        <v>1012</v>
      </c>
      <c r="I1000" s="59">
        <v>9</v>
      </c>
      <c r="J1000" s="109">
        <f t="shared" si="30"/>
        <v>4.5</v>
      </c>
      <c r="K1000" s="172">
        <v>9</v>
      </c>
      <c r="L1000" s="142" t="s">
        <v>598</v>
      </c>
      <c r="M1000" s="170"/>
    </row>
    <row r="1001" spans="1:13">
      <c r="A1001" s="2"/>
      <c r="B1001" s="61" t="s">
        <v>913</v>
      </c>
      <c r="C1001" s="59">
        <v>414</v>
      </c>
      <c r="D1001" s="59">
        <v>3.4</v>
      </c>
      <c r="E1001" s="59">
        <v>9</v>
      </c>
      <c r="F1001" s="59">
        <v>80.5</v>
      </c>
      <c r="G1001" s="59">
        <v>0.6</v>
      </c>
      <c r="H1001" s="59" t="s">
        <v>104</v>
      </c>
      <c r="I1001" s="59">
        <v>28</v>
      </c>
      <c r="J1001" s="110">
        <f t="shared" si="30"/>
        <v>14</v>
      </c>
      <c r="K1001" s="172">
        <v>28</v>
      </c>
      <c r="L1001" s="142" t="s">
        <v>537</v>
      </c>
      <c r="M1001" s="170"/>
    </row>
    <row r="1002" spans="1:13">
      <c r="A1002" s="2"/>
      <c r="B1002" s="61" t="s">
        <v>1238</v>
      </c>
      <c r="C1002" s="59">
        <v>234</v>
      </c>
      <c r="D1002" s="59">
        <v>0</v>
      </c>
      <c r="E1002" s="59">
        <v>0</v>
      </c>
      <c r="F1002" s="59">
        <v>61.47</v>
      </c>
      <c r="G1002" s="59">
        <v>0</v>
      </c>
      <c r="H1002" s="59" t="s">
        <v>102</v>
      </c>
      <c r="I1002" s="59">
        <v>20</v>
      </c>
      <c r="J1002" s="109">
        <f t="shared" si="30"/>
        <v>10</v>
      </c>
      <c r="K1002" s="172">
        <v>20</v>
      </c>
      <c r="L1002" s="142" t="s">
        <v>536</v>
      </c>
      <c r="M1002" s="170"/>
    </row>
    <row r="1003" spans="1:13">
      <c r="A1003" s="2"/>
      <c r="B1003" s="61" t="s">
        <v>1100</v>
      </c>
      <c r="C1003" s="59">
        <v>489</v>
      </c>
      <c r="D1003" s="59">
        <v>7.79</v>
      </c>
      <c r="E1003" s="59">
        <v>23.36</v>
      </c>
      <c r="F1003" s="59">
        <v>65.56</v>
      </c>
      <c r="G1003" s="59">
        <v>5.3</v>
      </c>
      <c r="H1003" s="59" t="s">
        <v>957</v>
      </c>
      <c r="I1003" s="59">
        <v>85</v>
      </c>
      <c r="J1003" s="110">
        <f t="shared" si="30"/>
        <v>28.05</v>
      </c>
      <c r="K1003" s="172">
        <v>28.333333333333332</v>
      </c>
      <c r="L1003" s="148" t="s">
        <v>554</v>
      </c>
      <c r="M1003" s="170"/>
    </row>
    <row r="1004" spans="1:13" ht="13.5" thickBot="1">
      <c r="A1004" s="2"/>
      <c r="B1004" s="63" t="s">
        <v>1101</v>
      </c>
      <c r="C1004" s="64">
        <v>462</v>
      </c>
      <c r="D1004" s="64">
        <v>13.8</v>
      </c>
      <c r="E1004" s="64">
        <v>29.4</v>
      </c>
      <c r="F1004" s="64">
        <v>44.9</v>
      </c>
      <c r="G1004" s="65"/>
      <c r="H1004" s="64" t="s">
        <v>920</v>
      </c>
      <c r="I1004" s="64">
        <v>75</v>
      </c>
      <c r="J1004" s="111">
        <f t="shared" si="30"/>
        <v>18.75</v>
      </c>
      <c r="K1004" s="173">
        <v>150</v>
      </c>
      <c r="L1004" s="174" t="s">
        <v>512</v>
      </c>
      <c r="M1004" s="170"/>
    </row>
    <row r="1005" spans="1:13" ht="13.5" thickTop="1"/>
  </sheetData>
  <mergeCells count="2">
    <mergeCell ref="H10:K10"/>
    <mergeCell ref="L10:N10"/>
  </mergeCells>
  <phoneticPr fontId="2" type="noConversion"/>
  <pageMargins left="0.75" right="0.75" top="1" bottom="1" header="0.5" footer="0.5"/>
  <pageSetup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"/>
  <dimension ref="A1:Q156"/>
  <sheetViews>
    <sheetView workbookViewId="0">
      <selection activeCell="AA4" sqref="AA4:AB76"/>
    </sheetView>
  </sheetViews>
  <sheetFormatPr defaultColWidth="8.85546875" defaultRowHeight="12.75"/>
  <cols>
    <col min="1" max="1" width="3" style="1" customWidth="1"/>
    <col min="2" max="2" width="9.5703125" style="1" bestFit="1" customWidth="1"/>
    <col min="3" max="15" width="8.28515625" style="1" customWidth="1"/>
    <col min="16" max="16" width="1.7109375" style="1" customWidth="1"/>
    <col min="17" max="17" width="10.28515625" style="1" customWidth="1"/>
    <col min="18" max="16384" width="8.85546875" style="1"/>
  </cols>
  <sheetData>
    <row r="1" spans="1:17">
      <c r="B1" s="84"/>
      <c r="C1" s="84"/>
      <c r="D1" s="84"/>
      <c r="E1" s="84"/>
      <c r="F1" s="84"/>
    </row>
    <row r="2" spans="1:17" hidden="1">
      <c r="A2" s="86">
        <f ca="1">COUNTA(B:B)-2</f>
        <v>1</v>
      </c>
      <c r="B2" s="85">
        <f ca="1">TODAY()</f>
        <v>44042</v>
      </c>
      <c r="C2" s="86">
        <f>'Meal Manager'!C21</f>
        <v>3369.4632000000006</v>
      </c>
      <c r="D2" s="86">
        <f>'Meal Manager'!N5</f>
        <v>421.18290000000007</v>
      </c>
      <c r="E2" s="86">
        <f>'Meal Manager'!N7</f>
        <v>294.82803000000001</v>
      </c>
      <c r="F2" s="86">
        <f>'Meal Manager'!N9</f>
        <v>56.157720000000012</v>
      </c>
      <c r="G2" s="86">
        <f>'Meal Manager'!L13</f>
        <v>0</v>
      </c>
      <c r="H2" s="86">
        <f>'Meal Manager'!L15</f>
        <v>0</v>
      </c>
      <c r="I2" s="86">
        <f>'Meal Manager'!L17</f>
        <v>0</v>
      </c>
      <c r="J2" s="86">
        <f>'Meal Manager'!L19</f>
        <v>0</v>
      </c>
      <c r="K2" s="86">
        <f>'Meal Manager'!C9</f>
        <v>132</v>
      </c>
      <c r="L2" s="87">
        <f>C2-G2</f>
        <v>3369.4632000000006</v>
      </c>
      <c r="M2" s="87">
        <f>D2-H2</f>
        <v>421.18290000000007</v>
      </c>
      <c r="N2" s="87">
        <f>E2-I2</f>
        <v>294.82803000000001</v>
      </c>
      <c r="O2" s="87">
        <f>F2-J2</f>
        <v>56.157720000000012</v>
      </c>
      <c r="P2" s="90"/>
    </row>
    <row r="3" spans="1:17" ht="16.5" thickBot="1">
      <c r="B3" s="191" t="str">
        <f>"Results for "&amp;'Meal Manager'!C3</f>
        <v xml:space="preserve">Results for </v>
      </c>
      <c r="O3" s="199">
        <f ca="1">TODAY()</f>
        <v>44042</v>
      </c>
      <c r="P3" s="90"/>
    </row>
    <row r="4" spans="1:17" ht="13.5" thickTop="1">
      <c r="B4" s="88"/>
      <c r="C4" s="222" t="s">
        <v>1275</v>
      </c>
      <c r="D4" s="223"/>
      <c r="E4" s="223"/>
      <c r="F4" s="223"/>
      <c r="G4" s="222" t="s">
        <v>1420</v>
      </c>
      <c r="H4" s="223"/>
      <c r="I4" s="223"/>
      <c r="J4" s="223"/>
      <c r="K4" s="224"/>
      <c r="L4" s="222" t="s">
        <v>1416</v>
      </c>
      <c r="M4" s="223"/>
      <c r="N4" s="223"/>
      <c r="O4" s="225"/>
      <c r="P4" s="90"/>
      <c r="Q4" s="100"/>
    </row>
    <row r="5" spans="1:17" ht="13.5" thickBot="1">
      <c r="B5" s="91" t="s">
        <v>1414</v>
      </c>
      <c r="C5" s="94" t="s">
        <v>1474</v>
      </c>
      <c r="D5" s="92" t="s">
        <v>1415</v>
      </c>
      <c r="E5" s="92" t="s">
        <v>99</v>
      </c>
      <c r="F5" s="92" t="s">
        <v>1475</v>
      </c>
      <c r="G5" s="94" t="s">
        <v>1474</v>
      </c>
      <c r="H5" s="92" t="s">
        <v>1415</v>
      </c>
      <c r="I5" s="92" t="s">
        <v>99</v>
      </c>
      <c r="J5" s="92" t="s">
        <v>1475</v>
      </c>
      <c r="K5" s="95" t="s">
        <v>1232</v>
      </c>
      <c r="L5" s="92" t="s">
        <v>1474</v>
      </c>
      <c r="M5" s="92" t="s">
        <v>1415</v>
      </c>
      <c r="N5" s="92" t="s">
        <v>99</v>
      </c>
      <c r="O5" s="93" t="s">
        <v>1475</v>
      </c>
      <c r="P5" s="90"/>
    </row>
    <row r="6" spans="1:17">
      <c r="A6" s="98">
        <v>1</v>
      </c>
      <c r="B6" s="89"/>
      <c r="C6" s="96"/>
      <c r="D6" s="90"/>
      <c r="E6" s="90"/>
      <c r="F6" s="90"/>
      <c r="G6" s="96"/>
      <c r="H6" s="90"/>
      <c r="I6" s="90"/>
      <c r="J6" s="90"/>
      <c r="K6" s="97"/>
      <c r="L6" s="90"/>
      <c r="M6" s="90"/>
      <c r="N6" s="90"/>
      <c r="O6" s="99"/>
      <c r="P6" s="90"/>
    </row>
    <row r="7" spans="1:17">
      <c r="A7" s="98">
        <v>2</v>
      </c>
      <c r="B7" s="89"/>
      <c r="C7" s="96"/>
      <c r="D7" s="90"/>
      <c r="E7" s="90"/>
      <c r="F7" s="90"/>
      <c r="G7" s="96"/>
      <c r="H7" s="90"/>
      <c r="I7" s="90"/>
      <c r="J7" s="90"/>
      <c r="K7" s="97"/>
      <c r="L7" s="90"/>
      <c r="M7" s="90"/>
      <c r="N7" s="90"/>
      <c r="O7" s="99"/>
      <c r="P7" s="90"/>
    </row>
    <row r="8" spans="1:17">
      <c r="A8" s="98">
        <v>3</v>
      </c>
      <c r="B8" s="89"/>
      <c r="C8" s="96"/>
      <c r="D8" s="90"/>
      <c r="E8" s="90"/>
      <c r="F8" s="90"/>
      <c r="G8" s="96"/>
      <c r="H8" s="90"/>
      <c r="I8" s="90"/>
      <c r="J8" s="90"/>
      <c r="K8" s="97"/>
      <c r="L8" s="90"/>
      <c r="M8" s="90"/>
      <c r="N8" s="90"/>
      <c r="O8" s="99"/>
      <c r="P8" s="90"/>
    </row>
    <row r="9" spans="1:17">
      <c r="A9" s="98">
        <v>4</v>
      </c>
      <c r="B9" s="89"/>
      <c r="C9" s="96"/>
      <c r="D9" s="90"/>
      <c r="E9" s="90"/>
      <c r="F9" s="90"/>
      <c r="G9" s="96"/>
      <c r="H9" s="90"/>
      <c r="I9" s="90"/>
      <c r="J9" s="90"/>
      <c r="K9" s="97"/>
      <c r="L9" s="90"/>
      <c r="M9" s="90"/>
      <c r="N9" s="90"/>
      <c r="O9" s="99"/>
      <c r="P9" s="90"/>
    </row>
    <row r="10" spans="1:17">
      <c r="A10" s="98">
        <v>5</v>
      </c>
      <c r="B10" s="89"/>
      <c r="C10" s="96"/>
      <c r="D10" s="90"/>
      <c r="E10" s="90"/>
      <c r="F10" s="90"/>
      <c r="G10" s="96"/>
      <c r="H10" s="90"/>
      <c r="I10" s="90"/>
      <c r="J10" s="90"/>
      <c r="K10" s="97"/>
      <c r="L10" s="90"/>
      <c r="M10" s="90"/>
      <c r="N10" s="90"/>
      <c r="O10" s="99"/>
      <c r="P10" s="90"/>
    </row>
    <row r="11" spans="1:17">
      <c r="A11" s="98">
        <v>6</v>
      </c>
      <c r="B11" s="89"/>
      <c r="C11" s="96"/>
      <c r="D11" s="90"/>
      <c r="E11" s="90"/>
      <c r="F11" s="90"/>
      <c r="G11" s="96"/>
      <c r="H11" s="90"/>
      <c r="I11" s="90"/>
      <c r="J11" s="90"/>
      <c r="K11" s="97"/>
      <c r="L11" s="90"/>
      <c r="M11" s="90"/>
      <c r="N11" s="90"/>
      <c r="O11" s="99"/>
      <c r="P11" s="90"/>
    </row>
    <row r="12" spans="1:17">
      <c r="A12" s="98">
        <v>7</v>
      </c>
      <c r="B12" s="89"/>
      <c r="C12" s="96"/>
      <c r="D12" s="90"/>
      <c r="E12" s="90"/>
      <c r="F12" s="90"/>
      <c r="G12" s="96"/>
      <c r="H12" s="90"/>
      <c r="I12" s="90"/>
      <c r="J12" s="90"/>
      <c r="K12" s="97"/>
      <c r="L12" s="90"/>
      <c r="M12" s="90"/>
      <c r="N12" s="90"/>
      <c r="O12" s="99"/>
      <c r="P12" s="90"/>
    </row>
    <row r="13" spans="1:17">
      <c r="A13" s="98">
        <v>8</v>
      </c>
      <c r="B13" s="89"/>
      <c r="C13" s="96"/>
      <c r="D13" s="90"/>
      <c r="E13" s="90"/>
      <c r="F13" s="90"/>
      <c r="G13" s="96"/>
      <c r="H13" s="90"/>
      <c r="I13" s="90"/>
      <c r="J13" s="90"/>
      <c r="K13" s="97"/>
      <c r="L13" s="90"/>
      <c r="M13" s="90"/>
      <c r="N13" s="90"/>
      <c r="O13" s="99"/>
      <c r="P13" s="90"/>
    </row>
    <row r="14" spans="1:17">
      <c r="A14" s="98">
        <v>9</v>
      </c>
      <c r="B14" s="89"/>
      <c r="C14" s="96"/>
      <c r="D14" s="90"/>
      <c r="E14" s="90"/>
      <c r="F14" s="90"/>
      <c r="G14" s="96"/>
      <c r="H14" s="90"/>
      <c r="I14" s="90"/>
      <c r="J14" s="90"/>
      <c r="K14" s="97"/>
      <c r="L14" s="90"/>
      <c r="M14" s="90"/>
      <c r="N14" s="90"/>
      <c r="O14" s="99"/>
      <c r="P14" s="90"/>
    </row>
    <row r="15" spans="1:17">
      <c r="A15" s="98">
        <v>10</v>
      </c>
      <c r="B15" s="89"/>
      <c r="C15" s="96"/>
      <c r="D15" s="90"/>
      <c r="E15" s="90"/>
      <c r="F15" s="90"/>
      <c r="G15" s="96"/>
      <c r="H15" s="90"/>
      <c r="I15" s="90"/>
      <c r="J15" s="90"/>
      <c r="K15" s="97"/>
      <c r="L15" s="90"/>
      <c r="M15" s="90"/>
      <c r="N15" s="90"/>
      <c r="O15" s="99"/>
      <c r="P15" s="90"/>
    </row>
    <row r="16" spans="1:17">
      <c r="A16" s="98">
        <v>11</v>
      </c>
      <c r="B16" s="89"/>
      <c r="C16" s="96"/>
      <c r="D16" s="90"/>
      <c r="E16" s="90"/>
      <c r="F16" s="90"/>
      <c r="G16" s="96"/>
      <c r="H16" s="90"/>
      <c r="I16" s="90"/>
      <c r="J16" s="90"/>
      <c r="K16" s="97"/>
      <c r="L16" s="90"/>
      <c r="M16" s="90"/>
      <c r="N16" s="90"/>
      <c r="O16" s="99"/>
      <c r="P16" s="90"/>
    </row>
    <row r="17" spans="1:16">
      <c r="A17" s="98">
        <v>12</v>
      </c>
      <c r="B17" s="89"/>
      <c r="C17" s="96"/>
      <c r="D17" s="90"/>
      <c r="E17" s="90"/>
      <c r="F17" s="90"/>
      <c r="G17" s="96"/>
      <c r="H17" s="90"/>
      <c r="I17" s="90"/>
      <c r="J17" s="90"/>
      <c r="K17" s="97"/>
      <c r="L17" s="90"/>
      <c r="M17" s="90"/>
      <c r="N17" s="90"/>
      <c r="O17" s="99"/>
      <c r="P17" s="90"/>
    </row>
    <row r="18" spans="1:16">
      <c r="A18" s="98">
        <v>13</v>
      </c>
      <c r="B18" s="89"/>
      <c r="C18" s="96"/>
      <c r="D18" s="90"/>
      <c r="E18" s="90"/>
      <c r="F18" s="90"/>
      <c r="G18" s="96"/>
      <c r="H18" s="90"/>
      <c r="I18" s="90"/>
      <c r="J18" s="90"/>
      <c r="K18" s="97"/>
      <c r="L18" s="90"/>
      <c r="M18" s="90"/>
      <c r="N18" s="90"/>
      <c r="O18" s="99"/>
      <c r="P18" s="90"/>
    </row>
    <row r="19" spans="1:16">
      <c r="A19" s="98">
        <v>14</v>
      </c>
      <c r="B19" s="89"/>
      <c r="C19" s="96"/>
      <c r="D19" s="90"/>
      <c r="E19" s="90"/>
      <c r="F19" s="90"/>
      <c r="G19" s="96"/>
      <c r="H19" s="90"/>
      <c r="I19" s="90"/>
      <c r="J19" s="90"/>
      <c r="K19" s="97"/>
      <c r="L19" s="90"/>
      <c r="M19" s="90"/>
      <c r="N19" s="90"/>
      <c r="O19" s="99"/>
      <c r="P19" s="90"/>
    </row>
    <row r="20" spans="1:16">
      <c r="A20" s="98">
        <v>15</v>
      </c>
      <c r="B20" s="89"/>
      <c r="C20" s="96"/>
      <c r="D20" s="90"/>
      <c r="E20" s="90"/>
      <c r="F20" s="90"/>
      <c r="G20" s="96"/>
      <c r="H20" s="90"/>
      <c r="I20" s="90"/>
      <c r="J20" s="90"/>
      <c r="K20" s="97"/>
      <c r="L20" s="90"/>
      <c r="M20" s="90"/>
      <c r="N20" s="90"/>
      <c r="O20" s="99"/>
      <c r="P20" s="90"/>
    </row>
    <row r="21" spans="1:16">
      <c r="A21" s="98">
        <v>16</v>
      </c>
      <c r="B21" s="89"/>
      <c r="C21" s="96"/>
      <c r="D21" s="90"/>
      <c r="E21" s="90"/>
      <c r="F21" s="90"/>
      <c r="G21" s="96"/>
      <c r="H21" s="90"/>
      <c r="I21" s="90"/>
      <c r="J21" s="90"/>
      <c r="K21" s="97"/>
      <c r="L21" s="90"/>
      <c r="M21" s="90"/>
      <c r="N21" s="90"/>
      <c r="O21" s="99"/>
      <c r="P21" s="90"/>
    </row>
    <row r="22" spans="1:16">
      <c r="A22" s="98">
        <v>17</v>
      </c>
      <c r="B22" s="89"/>
      <c r="C22" s="96"/>
      <c r="D22" s="90"/>
      <c r="E22" s="90"/>
      <c r="F22" s="90"/>
      <c r="G22" s="96"/>
      <c r="H22" s="90"/>
      <c r="I22" s="90"/>
      <c r="J22" s="90"/>
      <c r="K22" s="97"/>
      <c r="L22" s="90"/>
      <c r="M22" s="90"/>
      <c r="N22" s="90"/>
      <c r="O22" s="99"/>
      <c r="P22" s="90"/>
    </row>
    <row r="23" spans="1:16">
      <c r="A23" s="98">
        <v>18</v>
      </c>
      <c r="B23" s="89"/>
      <c r="C23" s="96"/>
      <c r="D23" s="90"/>
      <c r="E23" s="90"/>
      <c r="F23" s="90"/>
      <c r="G23" s="96"/>
      <c r="H23" s="90"/>
      <c r="I23" s="90"/>
      <c r="J23" s="90"/>
      <c r="K23" s="97"/>
      <c r="L23" s="90"/>
      <c r="M23" s="90"/>
      <c r="N23" s="90"/>
      <c r="O23" s="99"/>
      <c r="P23" s="90"/>
    </row>
    <row r="24" spans="1:16">
      <c r="A24" s="98">
        <v>19</v>
      </c>
      <c r="B24" s="89"/>
      <c r="C24" s="96"/>
      <c r="D24" s="90"/>
      <c r="E24" s="90"/>
      <c r="F24" s="90"/>
      <c r="G24" s="96"/>
      <c r="H24" s="90"/>
      <c r="I24" s="90"/>
      <c r="J24" s="90"/>
      <c r="K24" s="97"/>
      <c r="L24" s="90"/>
      <c r="M24" s="90"/>
      <c r="N24" s="90"/>
      <c r="O24" s="99"/>
      <c r="P24" s="90"/>
    </row>
    <row r="25" spans="1:16">
      <c r="A25" s="98">
        <v>20</v>
      </c>
      <c r="B25" s="89"/>
      <c r="C25" s="96"/>
      <c r="D25" s="90"/>
      <c r="E25" s="90"/>
      <c r="F25" s="90"/>
      <c r="G25" s="96"/>
      <c r="H25" s="90"/>
      <c r="I25" s="90"/>
      <c r="J25" s="90"/>
      <c r="K25" s="97"/>
      <c r="L25" s="90"/>
      <c r="M25" s="90"/>
      <c r="N25" s="90"/>
      <c r="O25" s="99"/>
      <c r="P25" s="90"/>
    </row>
    <row r="26" spans="1:16">
      <c r="A26" s="98">
        <v>21</v>
      </c>
      <c r="B26" s="89"/>
      <c r="C26" s="96"/>
      <c r="D26" s="90"/>
      <c r="E26" s="90"/>
      <c r="F26" s="90"/>
      <c r="G26" s="96"/>
      <c r="H26" s="90"/>
      <c r="I26" s="90"/>
      <c r="J26" s="90"/>
      <c r="K26" s="97"/>
      <c r="L26" s="90"/>
      <c r="M26" s="90"/>
      <c r="N26" s="90"/>
      <c r="O26" s="99"/>
      <c r="P26" s="90"/>
    </row>
    <row r="27" spans="1:16">
      <c r="A27" s="98">
        <v>22</v>
      </c>
      <c r="B27" s="89"/>
      <c r="C27" s="96"/>
      <c r="D27" s="90"/>
      <c r="E27" s="90"/>
      <c r="F27" s="90"/>
      <c r="G27" s="96"/>
      <c r="H27" s="90"/>
      <c r="I27" s="90"/>
      <c r="J27" s="90"/>
      <c r="K27" s="97"/>
      <c r="L27" s="90"/>
      <c r="M27" s="90"/>
      <c r="N27" s="90"/>
      <c r="O27" s="99"/>
      <c r="P27" s="90"/>
    </row>
    <row r="28" spans="1:16">
      <c r="A28" s="98">
        <v>23</v>
      </c>
      <c r="B28" s="89"/>
      <c r="C28" s="96"/>
      <c r="D28" s="90"/>
      <c r="E28" s="90"/>
      <c r="F28" s="90"/>
      <c r="G28" s="96"/>
      <c r="H28" s="90"/>
      <c r="I28" s="90"/>
      <c r="J28" s="90"/>
      <c r="K28" s="97"/>
      <c r="L28" s="90"/>
      <c r="M28" s="90"/>
      <c r="N28" s="90"/>
      <c r="O28" s="99"/>
      <c r="P28" s="90"/>
    </row>
    <row r="29" spans="1:16">
      <c r="A29" s="98">
        <v>24</v>
      </c>
      <c r="B29" s="89"/>
      <c r="C29" s="96"/>
      <c r="D29" s="90"/>
      <c r="E29" s="90"/>
      <c r="F29" s="90"/>
      <c r="G29" s="96"/>
      <c r="H29" s="90"/>
      <c r="I29" s="90"/>
      <c r="J29" s="90"/>
      <c r="K29" s="97"/>
      <c r="L29" s="90"/>
      <c r="M29" s="90"/>
      <c r="N29" s="90"/>
      <c r="O29" s="99"/>
      <c r="P29" s="90"/>
    </row>
    <row r="30" spans="1:16">
      <c r="A30" s="98">
        <v>25</v>
      </c>
      <c r="B30" s="89"/>
      <c r="C30" s="96"/>
      <c r="D30" s="90"/>
      <c r="E30" s="90"/>
      <c r="F30" s="90"/>
      <c r="G30" s="96"/>
      <c r="H30" s="90"/>
      <c r="I30" s="90"/>
      <c r="J30" s="90"/>
      <c r="K30" s="97"/>
      <c r="L30" s="90"/>
      <c r="M30" s="90"/>
      <c r="N30" s="90"/>
      <c r="O30" s="99"/>
      <c r="P30" s="90"/>
    </row>
    <row r="31" spans="1:16">
      <c r="A31" s="98">
        <v>26</v>
      </c>
      <c r="B31" s="89"/>
      <c r="C31" s="96"/>
      <c r="D31" s="90"/>
      <c r="E31" s="90"/>
      <c r="F31" s="90"/>
      <c r="G31" s="96"/>
      <c r="H31" s="90"/>
      <c r="I31" s="90"/>
      <c r="J31" s="90"/>
      <c r="K31" s="97"/>
      <c r="L31" s="90"/>
      <c r="M31" s="90"/>
      <c r="N31" s="90"/>
      <c r="O31" s="99"/>
      <c r="P31" s="90"/>
    </row>
    <row r="32" spans="1:16">
      <c r="A32" s="98">
        <v>27</v>
      </c>
      <c r="B32" s="89"/>
      <c r="C32" s="96"/>
      <c r="D32" s="90"/>
      <c r="E32" s="90"/>
      <c r="F32" s="90"/>
      <c r="G32" s="96"/>
      <c r="H32" s="90"/>
      <c r="I32" s="90"/>
      <c r="J32" s="90"/>
      <c r="K32" s="97"/>
      <c r="L32" s="90"/>
      <c r="M32" s="90"/>
      <c r="N32" s="90"/>
      <c r="O32" s="99"/>
      <c r="P32" s="90"/>
    </row>
    <row r="33" spans="1:16">
      <c r="A33" s="98">
        <v>28</v>
      </c>
      <c r="B33" s="89"/>
      <c r="C33" s="96"/>
      <c r="D33" s="90"/>
      <c r="E33" s="90"/>
      <c r="F33" s="90"/>
      <c r="G33" s="96"/>
      <c r="H33" s="90"/>
      <c r="I33" s="90"/>
      <c r="J33" s="90"/>
      <c r="K33" s="97"/>
      <c r="L33" s="90"/>
      <c r="M33" s="90"/>
      <c r="N33" s="90"/>
      <c r="O33" s="99"/>
      <c r="P33" s="90"/>
    </row>
    <row r="34" spans="1:16">
      <c r="A34" s="98">
        <v>29</v>
      </c>
      <c r="B34" s="89"/>
      <c r="C34" s="96"/>
      <c r="D34" s="90"/>
      <c r="E34" s="90"/>
      <c r="F34" s="90"/>
      <c r="G34" s="96"/>
      <c r="H34" s="90"/>
      <c r="I34" s="90"/>
      <c r="J34" s="90"/>
      <c r="K34" s="97"/>
      <c r="L34" s="90"/>
      <c r="M34" s="90"/>
      <c r="N34" s="90"/>
      <c r="O34" s="99"/>
      <c r="P34" s="90"/>
    </row>
    <row r="35" spans="1:16">
      <c r="A35" s="98">
        <v>30</v>
      </c>
      <c r="B35" s="89"/>
      <c r="C35" s="96"/>
      <c r="D35" s="90"/>
      <c r="E35" s="90"/>
      <c r="F35" s="90"/>
      <c r="G35" s="96"/>
      <c r="H35" s="90"/>
      <c r="I35" s="90"/>
      <c r="J35" s="90"/>
      <c r="K35" s="97"/>
      <c r="L35" s="90"/>
      <c r="M35" s="90"/>
      <c r="N35" s="90"/>
      <c r="O35" s="99"/>
      <c r="P35" s="90"/>
    </row>
    <row r="36" spans="1:16">
      <c r="A36" s="98">
        <v>31</v>
      </c>
      <c r="B36" s="89"/>
      <c r="C36" s="96"/>
      <c r="D36" s="90"/>
      <c r="E36" s="90"/>
      <c r="F36" s="90"/>
      <c r="G36" s="96"/>
      <c r="H36" s="90"/>
      <c r="I36" s="90"/>
      <c r="J36" s="90"/>
      <c r="K36" s="97"/>
      <c r="L36" s="90"/>
      <c r="M36" s="90"/>
      <c r="N36" s="90"/>
      <c r="O36" s="99"/>
      <c r="P36" s="90"/>
    </row>
    <row r="37" spans="1:16">
      <c r="A37" s="98">
        <v>32</v>
      </c>
      <c r="B37" s="89"/>
      <c r="C37" s="96"/>
      <c r="D37" s="90"/>
      <c r="E37" s="90"/>
      <c r="F37" s="90"/>
      <c r="G37" s="96"/>
      <c r="H37" s="90"/>
      <c r="I37" s="90"/>
      <c r="J37" s="90"/>
      <c r="K37" s="97"/>
      <c r="L37" s="90"/>
      <c r="M37" s="90"/>
      <c r="N37" s="90"/>
      <c r="O37" s="99"/>
      <c r="P37" s="90"/>
    </row>
    <row r="38" spans="1:16">
      <c r="A38" s="98">
        <v>33</v>
      </c>
      <c r="B38" s="89"/>
      <c r="C38" s="96"/>
      <c r="D38" s="90"/>
      <c r="E38" s="90"/>
      <c r="F38" s="90"/>
      <c r="G38" s="96"/>
      <c r="H38" s="90"/>
      <c r="I38" s="90"/>
      <c r="J38" s="90"/>
      <c r="K38" s="97"/>
      <c r="L38" s="90"/>
      <c r="M38" s="90"/>
      <c r="N38" s="90"/>
      <c r="O38" s="99"/>
      <c r="P38" s="90"/>
    </row>
    <row r="39" spans="1:16">
      <c r="A39" s="98">
        <v>34</v>
      </c>
      <c r="B39" s="89"/>
      <c r="C39" s="96"/>
      <c r="D39" s="90"/>
      <c r="E39" s="90"/>
      <c r="F39" s="90"/>
      <c r="G39" s="96"/>
      <c r="H39" s="90"/>
      <c r="I39" s="90"/>
      <c r="J39" s="90"/>
      <c r="K39" s="97"/>
      <c r="L39" s="90"/>
      <c r="M39" s="90"/>
      <c r="N39" s="90"/>
      <c r="O39" s="99"/>
      <c r="P39" s="90"/>
    </row>
    <row r="40" spans="1:16">
      <c r="A40" s="98">
        <v>35</v>
      </c>
      <c r="B40" s="89"/>
      <c r="C40" s="96"/>
      <c r="D40" s="90"/>
      <c r="E40" s="90"/>
      <c r="F40" s="90"/>
      <c r="G40" s="96"/>
      <c r="H40" s="90"/>
      <c r="I40" s="90"/>
      <c r="J40" s="90"/>
      <c r="K40" s="97"/>
      <c r="L40" s="90"/>
      <c r="M40" s="90"/>
      <c r="N40" s="90"/>
      <c r="O40" s="99"/>
      <c r="P40" s="90"/>
    </row>
    <row r="41" spans="1:16">
      <c r="A41" s="98">
        <v>36</v>
      </c>
      <c r="B41" s="89"/>
      <c r="C41" s="96"/>
      <c r="D41" s="90"/>
      <c r="E41" s="90"/>
      <c r="F41" s="90"/>
      <c r="G41" s="96"/>
      <c r="H41" s="90"/>
      <c r="I41" s="90"/>
      <c r="J41" s="90"/>
      <c r="K41" s="97"/>
      <c r="L41" s="90"/>
      <c r="M41" s="90"/>
      <c r="N41" s="90"/>
      <c r="O41" s="99"/>
      <c r="P41" s="90"/>
    </row>
    <row r="42" spans="1:16">
      <c r="A42" s="98">
        <v>37</v>
      </c>
      <c r="B42" s="89"/>
      <c r="C42" s="96"/>
      <c r="D42" s="90"/>
      <c r="E42" s="90"/>
      <c r="F42" s="90"/>
      <c r="G42" s="96"/>
      <c r="H42" s="90"/>
      <c r="I42" s="90"/>
      <c r="J42" s="90"/>
      <c r="K42" s="97"/>
      <c r="L42" s="90"/>
      <c r="M42" s="90"/>
      <c r="N42" s="90"/>
      <c r="O42" s="99"/>
      <c r="P42" s="90"/>
    </row>
    <row r="43" spans="1:16">
      <c r="A43" s="98">
        <v>38</v>
      </c>
      <c r="B43" s="89"/>
      <c r="C43" s="96"/>
      <c r="D43" s="90"/>
      <c r="E43" s="90"/>
      <c r="F43" s="90"/>
      <c r="G43" s="96"/>
      <c r="H43" s="90"/>
      <c r="I43" s="90"/>
      <c r="J43" s="90"/>
      <c r="K43" s="97"/>
      <c r="L43" s="90"/>
      <c r="M43" s="90"/>
      <c r="N43" s="90"/>
      <c r="O43" s="99"/>
      <c r="P43" s="90"/>
    </row>
    <row r="44" spans="1:16">
      <c r="A44" s="98">
        <v>39</v>
      </c>
      <c r="B44" s="89"/>
      <c r="C44" s="96"/>
      <c r="D44" s="90"/>
      <c r="E44" s="90"/>
      <c r="F44" s="90"/>
      <c r="G44" s="96"/>
      <c r="H44" s="90"/>
      <c r="I44" s="90"/>
      <c r="J44" s="90"/>
      <c r="K44" s="97"/>
      <c r="L44" s="90"/>
      <c r="M44" s="90"/>
      <c r="N44" s="90"/>
      <c r="O44" s="99"/>
      <c r="P44" s="90"/>
    </row>
    <row r="45" spans="1:16">
      <c r="A45" s="98">
        <v>40</v>
      </c>
      <c r="B45" s="89"/>
      <c r="C45" s="96"/>
      <c r="D45" s="90"/>
      <c r="E45" s="90"/>
      <c r="F45" s="90"/>
      <c r="G45" s="96"/>
      <c r="H45" s="90"/>
      <c r="I45" s="90"/>
      <c r="J45" s="90"/>
      <c r="K45" s="97"/>
      <c r="L45" s="90"/>
      <c r="M45" s="90"/>
      <c r="N45" s="90"/>
      <c r="O45" s="99"/>
      <c r="P45" s="90"/>
    </row>
    <row r="46" spans="1:16">
      <c r="A46" s="98">
        <v>41</v>
      </c>
      <c r="B46" s="89"/>
      <c r="C46" s="96"/>
      <c r="D46" s="90"/>
      <c r="E46" s="90"/>
      <c r="F46" s="90"/>
      <c r="G46" s="96"/>
      <c r="H46" s="90"/>
      <c r="I46" s="90"/>
      <c r="J46" s="90"/>
      <c r="K46" s="97"/>
      <c r="L46" s="90"/>
      <c r="M46" s="90"/>
      <c r="N46" s="90"/>
      <c r="O46" s="99"/>
      <c r="P46" s="90"/>
    </row>
    <row r="47" spans="1:16">
      <c r="A47" s="98">
        <v>42</v>
      </c>
      <c r="B47" s="89"/>
      <c r="C47" s="96"/>
      <c r="D47" s="90"/>
      <c r="E47" s="90"/>
      <c r="F47" s="90"/>
      <c r="G47" s="96"/>
      <c r="H47" s="90"/>
      <c r="I47" s="90"/>
      <c r="J47" s="90"/>
      <c r="K47" s="97"/>
      <c r="L47" s="90"/>
      <c r="M47" s="90"/>
      <c r="N47" s="90"/>
      <c r="O47" s="99"/>
      <c r="P47" s="90"/>
    </row>
    <row r="48" spans="1:16">
      <c r="A48" s="98">
        <v>43</v>
      </c>
      <c r="B48" s="89"/>
      <c r="C48" s="96"/>
      <c r="D48" s="90"/>
      <c r="E48" s="90"/>
      <c r="F48" s="90"/>
      <c r="G48" s="96"/>
      <c r="H48" s="90"/>
      <c r="I48" s="90"/>
      <c r="J48" s="90"/>
      <c r="K48" s="97"/>
      <c r="L48" s="90"/>
      <c r="M48" s="90"/>
      <c r="N48" s="90"/>
      <c r="O48" s="99"/>
      <c r="P48" s="90"/>
    </row>
    <row r="49" spans="1:16">
      <c r="A49" s="98">
        <v>44</v>
      </c>
      <c r="B49" s="89"/>
      <c r="C49" s="96"/>
      <c r="D49" s="90"/>
      <c r="E49" s="90"/>
      <c r="F49" s="90"/>
      <c r="G49" s="96"/>
      <c r="H49" s="90"/>
      <c r="I49" s="90"/>
      <c r="J49" s="90"/>
      <c r="K49" s="97"/>
      <c r="L49" s="90"/>
      <c r="M49" s="90"/>
      <c r="N49" s="90"/>
      <c r="O49" s="99"/>
      <c r="P49" s="90"/>
    </row>
    <row r="50" spans="1:16">
      <c r="A50" s="98">
        <v>45</v>
      </c>
      <c r="B50" s="89"/>
      <c r="C50" s="96"/>
      <c r="D50" s="90"/>
      <c r="E50" s="90"/>
      <c r="F50" s="90"/>
      <c r="G50" s="96"/>
      <c r="H50" s="90"/>
      <c r="I50" s="90"/>
      <c r="J50" s="90"/>
      <c r="K50" s="97"/>
      <c r="L50" s="90"/>
      <c r="M50" s="90"/>
      <c r="N50" s="90"/>
      <c r="O50" s="99"/>
      <c r="P50" s="90"/>
    </row>
    <row r="51" spans="1:16">
      <c r="A51" s="98">
        <v>46</v>
      </c>
      <c r="B51" s="89"/>
      <c r="C51" s="96"/>
      <c r="D51" s="90"/>
      <c r="E51" s="90"/>
      <c r="F51" s="90"/>
      <c r="G51" s="96"/>
      <c r="H51" s="90"/>
      <c r="I51" s="90"/>
      <c r="J51" s="90"/>
      <c r="K51" s="97"/>
      <c r="L51" s="90"/>
      <c r="M51" s="90"/>
      <c r="N51" s="90"/>
      <c r="O51" s="99"/>
      <c r="P51" s="90"/>
    </row>
    <row r="52" spans="1:16">
      <c r="A52" s="98">
        <v>47</v>
      </c>
      <c r="B52" s="89"/>
      <c r="C52" s="96"/>
      <c r="D52" s="90"/>
      <c r="E52" s="90"/>
      <c r="F52" s="90"/>
      <c r="G52" s="96"/>
      <c r="H52" s="90"/>
      <c r="I52" s="90"/>
      <c r="J52" s="90"/>
      <c r="K52" s="97"/>
      <c r="L52" s="90"/>
      <c r="M52" s="90"/>
      <c r="N52" s="90"/>
      <c r="O52" s="99"/>
      <c r="P52" s="90"/>
    </row>
    <row r="53" spans="1:16">
      <c r="A53" s="98">
        <v>48</v>
      </c>
      <c r="B53" s="89"/>
      <c r="C53" s="96"/>
      <c r="D53" s="90"/>
      <c r="E53" s="90"/>
      <c r="F53" s="90"/>
      <c r="G53" s="96"/>
      <c r="H53" s="90"/>
      <c r="I53" s="90"/>
      <c r="J53" s="90"/>
      <c r="K53" s="97"/>
      <c r="L53" s="90"/>
      <c r="M53" s="90"/>
      <c r="N53" s="90"/>
      <c r="O53" s="99"/>
      <c r="P53" s="90"/>
    </row>
    <row r="54" spans="1:16">
      <c r="A54" s="98">
        <v>49</v>
      </c>
      <c r="B54" s="89"/>
      <c r="C54" s="96"/>
      <c r="D54" s="90"/>
      <c r="E54" s="90"/>
      <c r="F54" s="90"/>
      <c r="G54" s="96"/>
      <c r="H54" s="90"/>
      <c r="I54" s="90"/>
      <c r="J54" s="90"/>
      <c r="K54" s="97"/>
      <c r="L54" s="90"/>
      <c r="M54" s="90"/>
      <c r="N54" s="90"/>
      <c r="O54" s="99"/>
      <c r="P54" s="90"/>
    </row>
    <row r="55" spans="1:16">
      <c r="A55" s="98">
        <v>50</v>
      </c>
      <c r="B55" s="89"/>
      <c r="C55" s="96"/>
      <c r="D55" s="90"/>
      <c r="E55" s="90"/>
      <c r="F55" s="90"/>
      <c r="G55" s="96"/>
      <c r="H55" s="90"/>
      <c r="I55" s="90"/>
      <c r="J55" s="90"/>
      <c r="K55" s="97"/>
      <c r="L55" s="90"/>
      <c r="M55" s="90"/>
      <c r="N55" s="90"/>
      <c r="O55" s="99"/>
      <c r="P55" s="90"/>
    </row>
    <row r="56" spans="1:16">
      <c r="A56" s="98">
        <v>51</v>
      </c>
      <c r="B56" s="89"/>
      <c r="C56" s="96"/>
      <c r="D56" s="90"/>
      <c r="E56" s="90"/>
      <c r="F56" s="90"/>
      <c r="G56" s="96"/>
      <c r="H56" s="90"/>
      <c r="I56" s="90"/>
      <c r="J56" s="90"/>
      <c r="K56" s="97"/>
      <c r="L56" s="90"/>
      <c r="M56" s="90"/>
      <c r="N56" s="90"/>
      <c r="O56" s="99"/>
      <c r="P56" s="90"/>
    </row>
    <row r="57" spans="1:16">
      <c r="A57" s="98">
        <v>52</v>
      </c>
      <c r="B57" s="89"/>
      <c r="C57" s="96"/>
      <c r="D57" s="90"/>
      <c r="E57" s="90"/>
      <c r="F57" s="90"/>
      <c r="G57" s="96"/>
      <c r="H57" s="90"/>
      <c r="I57" s="90"/>
      <c r="J57" s="90"/>
      <c r="K57" s="97"/>
      <c r="L57" s="90"/>
      <c r="M57" s="90"/>
      <c r="N57" s="90"/>
      <c r="O57" s="99"/>
      <c r="P57" s="90"/>
    </row>
    <row r="58" spans="1:16">
      <c r="A58" s="98">
        <v>53</v>
      </c>
      <c r="B58" s="89"/>
      <c r="C58" s="96"/>
      <c r="D58" s="90"/>
      <c r="E58" s="90"/>
      <c r="F58" s="90"/>
      <c r="G58" s="96"/>
      <c r="H58" s="90"/>
      <c r="I58" s="90"/>
      <c r="J58" s="90"/>
      <c r="K58" s="97"/>
      <c r="L58" s="90"/>
      <c r="M58" s="90"/>
      <c r="N58" s="90"/>
      <c r="O58" s="99"/>
      <c r="P58" s="90"/>
    </row>
    <row r="59" spans="1:16">
      <c r="A59" s="98">
        <v>54</v>
      </c>
      <c r="B59" s="89"/>
      <c r="C59" s="96"/>
      <c r="D59" s="90"/>
      <c r="E59" s="90"/>
      <c r="F59" s="90"/>
      <c r="G59" s="96"/>
      <c r="H59" s="90"/>
      <c r="I59" s="90"/>
      <c r="J59" s="90"/>
      <c r="K59" s="97"/>
      <c r="L59" s="90"/>
      <c r="M59" s="90"/>
      <c r="N59" s="90"/>
      <c r="O59" s="99"/>
      <c r="P59" s="90"/>
    </row>
    <row r="60" spans="1:16">
      <c r="A60" s="98">
        <v>55</v>
      </c>
      <c r="B60" s="89"/>
      <c r="C60" s="96"/>
      <c r="D60" s="90"/>
      <c r="E60" s="90"/>
      <c r="F60" s="90"/>
      <c r="G60" s="96"/>
      <c r="H60" s="90"/>
      <c r="I60" s="90"/>
      <c r="J60" s="90"/>
      <c r="K60" s="97"/>
      <c r="L60" s="90"/>
      <c r="M60" s="90"/>
      <c r="N60" s="90"/>
      <c r="O60" s="99"/>
      <c r="P60" s="90"/>
    </row>
    <row r="61" spans="1:16">
      <c r="A61" s="98">
        <v>56</v>
      </c>
      <c r="B61" s="89"/>
      <c r="C61" s="96"/>
      <c r="D61" s="90"/>
      <c r="E61" s="90"/>
      <c r="F61" s="90"/>
      <c r="G61" s="96"/>
      <c r="H61" s="90"/>
      <c r="I61" s="90"/>
      <c r="J61" s="90"/>
      <c r="K61" s="97"/>
      <c r="L61" s="90"/>
      <c r="M61" s="90"/>
      <c r="N61" s="90"/>
      <c r="O61" s="99"/>
      <c r="P61" s="90"/>
    </row>
    <row r="62" spans="1:16">
      <c r="A62" s="98">
        <v>57</v>
      </c>
      <c r="B62" s="89"/>
      <c r="C62" s="96"/>
      <c r="D62" s="90"/>
      <c r="E62" s="90"/>
      <c r="F62" s="90"/>
      <c r="G62" s="96"/>
      <c r="H62" s="90"/>
      <c r="I62" s="90"/>
      <c r="J62" s="90"/>
      <c r="K62" s="97"/>
      <c r="L62" s="90"/>
      <c r="M62" s="90"/>
      <c r="N62" s="90"/>
      <c r="O62" s="99"/>
      <c r="P62" s="90"/>
    </row>
    <row r="63" spans="1:16">
      <c r="A63" s="98">
        <v>58</v>
      </c>
      <c r="B63" s="89"/>
      <c r="C63" s="96"/>
      <c r="D63" s="90"/>
      <c r="E63" s="90"/>
      <c r="F63" s="90"/>
      <c r="G63" s="96"/>
      <c r="H63" s="90"/>
      <c r="I63" s="90"/>
      <c r="J63" s="90"/>
      <c r="K63" s="97"/>
      <c r="L63" s="90"/>
      <c r="M63" s="90"/>
      <c r="N63" s="90"/>
      <c r="O63" s="99"/>
      <c r="P63" s="90"/>
    </row>
    <row r="64" spans="1:16">
      <c r="A64" s="98">
        <v>59</v>
      </c>
      <c r="B64" s="89"/>
      <c r="C64" s="96"/>
      <c r="D64" s="90"/>
      <c r="E64" s="90"/>
      <c r="F64" s="90"/>
      <c r="G64" s="96"/>
      <c r="H64" s="90"/>
      <c r="I64" s="90"/>
      <c r="J64" s="90"/>
      <c r="K64" s="97"/>
      <c r="L64" s="90"/>
      <c r="M64" s="90"/>
      <c r="N64" s="90"/>
      <c r="O64" s="99"/>
      <c r="P64" s="90"/>
    </row>
    <row r="65" spans="1:16">
      <c r="A65" s="98">
        <v>60</v>
      </c>
      <c r="B65" s="89"/>
      <c r="C65" s="96"/>
      <c r="D65" s="90"/>
      <c r="E65" s="90"/>
      <c r="F65" s="90"/>
      <c r="G65" s="96"/>
      <c r="H65" s="90"/>
      <c r="I65" s="90"/>
      <c r="J65" s="90"/>
      <c r="K65" s="97"/>
      <c r="L65" s="90"/>
      <c r="M65" s="90"/>
      <c r="N65" s="90"/>
      <c r="O65" s="99"/>
      <c r="P65" s="90"/>
    </row>
    <row r="66" spans="1:16">
      <c r="A66" s="98">
        <v>61</v>
      </c>
      <c r="B66" s="89"/>
      <c r="C66" s="96"/>
      <c r="D66" s="90"/>
      <c r="E66" s="90"/>
      <c r="F66" s="90"/>
      <c r="G66" s="96"/>
      <c r="H66" s="90"/>
      <c r="I66" s="90"/>
      <c r="J66" s="90"/>
      <c r="K66" s="97"/>
      <c r="L66" s="90"/>
      <c r="M66" s="90"/>
      <c r="N66" s="90"/>
      <c r="O66" s="99"/>
      <c r="P66" s="90"/>
    </row>
    <row r="67" spans="1:16">
      <c r="A67" s="98">
        <v>62</v>
      </c>
      <c r="B67" s="89"/>
      <c r="C67" s="96"/>
      <c r="D67" s="90"/>
      <c r="E67" s="90"/>
      <c r="F67" s="90"/>
      <c r="G67" s="96"/>
      <c r="H67" s="90"/>
      <c r="I67" s="90"/>
      <c r="J67" s="90"/>
      <c r="K67" s="97"/>
      <c r="L67" s="90"/>
      <c r="M67" s="90"/>
      <c r="N67" s="90"/>
      <c r="O67" s="99"/>
      <c r="P67" s="90"/>
    </row>
    <row r="68" spans="1:16">
      <c r="A68" s="98">
        <v>63</v>
      </c>
      <c r="B68" s="89"/>
      <c r="C68" s="96"/>
      <c r="D68" s="90"/>
      <c r="E68" s="90"/>
      <c r="F68" s="90"/>
      <c r="G68" s="96"/>
      <c r="H68" s="90"/>
      <c r="I68" s="90"/>
      <c r="J68" s="90"/>
      <c r="K68" s="97"/>
      <c r="L68" s="90"/>
      <c r="M68" s="90"/>
      <c r="N68" s="90"/>
      <c r="O68" s="99"/>
      <c r="P68" s="90"/>
    </row>
    <row r="69" spans="1:16">
      <c r="A69" s="98">
        <v>64</v>
      </c>
      <c r="B69" s="89"/>
      <c r="C69" s="96"/>
      <c r="D69" s="90"/>
      <c r="E69" s="90"/>
      <c r="F69" s="90"/>
      <c r="G69" s="96"/>
      <c r="H69" s="90"/>
      <c r="I69" s="90"/>
      <c r="J69" s="90"/>
      <c r="K69" s="97"/>
      <c r="L69" s="90"/>
      <c r="M69" s="90"/>
      <c r="N69" s="90"/>
      <c r="O69" s="99"/>
      <c r="P69" s="90"/>
    </row>
    <row r="70" spans="1:16">
      <c r="A70" s="98">
        <v>65</v>
      </c>
      <c r="B70" s="89"/>
      <c r="C70" s="96"/>
      <c r="D70" s="90"/>
      <c r="E70" s="90"/>
      <c r="F70" s="90"/>
      <c r="G70" s="96"/>
      <c r="H70" s="90"/>
      <c r="I70" s="90"/>
      <c r="J70" s="90"/>
      <c r="K70" s="97"/>
      <c r="L70" s="90"/>
      <c r="M70" s="90"/>
      <c r="N70" s="90"/>
      <c r="O70" s="99"/>
      <c r="P70" s="90"/>
    </row>
    <row r="71" spans="1:16">
      <c r="A71" s="98">
        <v>66</v>
      </c>
      <c r="B71" s="89"/>
      <c r="C71" s="96"/>
      <c r="D71" s="90"/>
      <c r="E71" s="90"/>
      <c r="F71" s="90"/>
      <c r="G71" s="96"/>
      <c r="H71" s="90"/>
      <c r="I71" s="90"/>
      <c r="J71" s="90"/>
      <c r="K71" s="97"/>
      <c r="L71" s="90"/>
      <c r="M71" s="90"/>
      <c r="N71" s="90"/>
      <c r="O71" s="99"/>
      <c r="P71" s="90"/>
    </row>
    <row r="72" spans="1:16">
      <c r="A72" s="98">
        <v>67</v>
      </c>
      <c r="B72" s="89"/>
      <c r="C72" s="96"/>
      <c r="D72" s="90"/>
      <c r="E72" s="90"/>
      <c r="F72" s="90"/>
      <c r="G72" s="96"/>
      <c r="H72" s="90"/>
      <c r="I72" s="90"/>
      <c r="J72" s="90"/>
      <c r="K72" s="97"/>
      <c r="L72" s="90"/>
      <c r="M72" s="90"/>
      <c r="N72" s="90"/>
      <c r="O72" s="99"/>
      <c r="P72" s="90"/>
    </row>
    <row r="73" spans="1:16">
      <c r="A73" s="98">
        <v>68</v>
      </c>
      <c r="B73" s="89"/>
      <c r="C73" s="96"/>
      <c r="D73" s="90"/>
      <c r="E73" s="90"/>
      <c r="F73" s="90"/>
      <c r="G73" s="96"/>
      <c r="H73" s="90"/>
      <c r="I73" s="90"/>
      <c r="J73" s="90"/>
      <c r="K73" s="97"/>
      <c r="L73" s="90"/>
      <c r="M73" s="90"/>
      <c r="N73" s="90"/>
      <c r="O73" s="99"/>
      <c r="P73" s="90"/>
    </row>
    <row r="74" spans="1:16">
      <c r="A74" s="98">
        <v>69</v>
      </c>
      <c r="B74" s="89"/>
      <c r="C74" s="96"/>
      <c r="D74" s="90"/>
      <c r="E74" s="90"/>
      <c r="F74" s="90"/>
      <c r="G74" s="96"/>
      <c r="H74" s="90"/>
      <c r="I74" s="90"/>
      <c r="J74" s="90"/>
      <c r="K74" s="97"/>
      <c r="L74" s="90"/>
      <c r="M74" s="90"/>
      <c r="N74" s="90"/>
      <c r="O74" s="99"/>
      <c r="P74" s="90"/>
    </row>
    <row r="75" spans="1:16">
      <c r="A75" s="98">
        <v>70</v>
      </c>
      <c r="B75" s="89"/>
      <c r="C75" s="96"/>
      <c r="D75" s="90"/>
      <c r="E75" s="90"/>
      <c r="F75" s="90"/>
      <c r="G75" s="96"/>
      <c r="H75" s="90"/>
      <c r="I75" s="90"/>
      <c r="J75" s="90"/>
      <c r="K75" s="97"/>
      <c r="L75" s="90"/>
      <c r="M75" s="90"/>
      <c r="N75" s="90"/>
      <c r="O75" s="99"/>
      <c r="P75" s="90"/>
    </row>
    <row r="76" spans="1:16">
      <c r="A76" s="98">
        <v>71</v>
      </c>
      <c r="B76" s="89"/>
      <c r="C76" s="96"/>
      <c r="D76" s="90"/>
      <c r="E76" s="90"/>
      <c r="F76" s="90"/>
      <c r="G76" s="96"/>
      <c r="H76" s="90"/>
      <c r="I76" s="90"/>
      <c r="J76" s="90"/>
      <c r="K76" s="97"/>
      <c r="L76" s="90"/>
      <c r="M76" s="90"/>
      <c r="N76" s="90"/>
      <c r="O76" s="99"/>
      <c r="P76" s="90"/>
    </row>
    <row r="77" spans="1:16">
      <c r="A77" s="98">
        <v>72</v>
      </c>
      <c r="B77" s="89"/>
      <c r="C77" s="96"/>
      <c r="D77" s="90"/>
      <c r="E77" s="90"/>
      <c r="F77" s="90"/>
      <c r="G77" s="96"/>
      <c r="H77" s="90"/>
      <c r="I77" s="90"/>
      <c r="J77" s="90"/>
      <c r="K77" s="97"/>
      <c r="L77" s="90"/>
      <c r="M77" s="90"/>
      <c r="N77" s="90"/>
      <c r="O77" s="99"/>
      <c r="P77" s="90"/>
    </row>
    <row r="78" spans="1:16">
      <c r="A78" s="98">
        <v>73</v>
      </c>
      <c r="B78" s="89"/>
      <c r="C78" s="96"/>
      <c r="D78" s="90"/>
      <c r="E78" s="90"/>
      <c r="F78" s="90"/>
      <c r="G78" s="96"/>
      <c r="H78" s="90"/>
      <c r="I78" s="90"/>
      <c r="J78" s="90"/>
      <c r="K78" s="97"/>
      <c r="L78" s="90"/>
      <c r="M78" s="90"/>
      <c r="N78" s="90"/>
      <c r="O78" s="99"/>
      <c r="P78" s="90"/>
    </row>
    <row r="79" spans="1:16">
      <c r="A79" s="98">
        <v>74</v>
      </c>
      <c r="B79" s="89"/>
      <c r="C79" s="96"/>
      <c r="D79" s="90"/>
      <c r="E79" s="90"/>
      <c r="F79" s="90"/>
      <c r="G79" s="96"/>
      <c r="H79" s="90"/>
      <c r="I79" s="90"/>
      <c r="J79" s="90"/>
      <c r="K79" s="97"/>
      <c r="L79" s="90"/>
      <c r="M79" s="90"/>
      <c r="N79" s="90"/>
      <c r="O79" s="99"/>
      <c r="P79" s="90"/>
    </row>
    <row r="80" spans="1:16">
      <c r="A80" s="98">
        <v>75</v>
      </c>
      <c r="B80" s="89"/>
      <c r="C80" s="96"/>
      <c r="D80" s="90"/>
      <c r="E80" s="90"/>
      <c r="F80" s="90"/>
      <c r="G80" s="96"/>
      <c r="H80" s="90"/>
      <c r="I80" s="90"/>
      <c r="J80" s="90"/>
      <c r="K80" s="97"/>
      <c r="L80" s="90"/>
      <c r="M80" s="90"/>
      <c r="N80" s="90"/>
      <c r="O80" s="99"/>
      <c r="P80" s="90"/>
    </row>
    <row r="81" spans="1:16">
      <c r="A81" s="98">
        <v>76</v>
      </c>
      <c r="B81" s="89"/>
      <c r="C81" s="96"/>
      <c r="D81" s="90"/>
      <c r="E81" s="90"/>
      <c r="F81" s="90"/>
      <c r="G81" s="96"/>
      <c r="H81" s="90"/>
      <c r="I81" s="90"/>
      <c r="J81" s="90"/>
      <c r="K81" s="97"/>
      <c r="L81" s="90"/>
      <c r="M81" s="90"/>
      <c r="N81" s="90"/>
      <c r="O81" s="99"/>
      <c r="P81" s="90"/>
    </row>
    <row r="82" spans="1:16">
      <c r="A82" s="98">
        <v>77</v>
      </c>
      <c r="B82" s="89"/>
      <c r="C82" s="96"/>
      <c r="D82" s="90"/>
      <c r="E82" s="90"/>
      <c r="F82" s="90"/>
      <c r="G82" s="96"/>
      <c r="H82" s="90"/>
      <c r="I82" s="90"/>
      <c r="J82" s="90"/>
      <c r="K82" s="97"/>
      <c r="L82" s="90"/>
      <c r="M82" s="90"/>
      <c r="N82" s="90"/>
      <c r="O82" s="99"/>
      <c r="P82" s="90"/>
    </row>
    <row r="83" spans="1:16">
      <c r="A83" s="98">
        <v>78</v>
      </c>
      <c r="B83" s="89"/>
      <c r="C83" s="96"/>
      <c r="D83" s="90"/>
      <c r="E83" s="90"/>
      <c r="F83" s="90"/>
      <c r="G83" s="96"/>
      <c r="H83" s="90"/>
      <c r="I83" s="90"/>
      <c r="J83" s="90"/>
      <c r="K83" s="97"/>
      <c r="L83" s="90"/>
      <c r="M83" s="90"/>
      <c r="N83" s="90"/>
      <c r="O83" s="99"/>
      <c r="P83" s="90"/>
    </row>
    <row r="84" spans="1:16">
      <c r="A84" s="98">
        <v>79</v>
      </c>
      <c r="B84" s="89"/>
      <c r="C84" s="96"/>
      <c r="D84" s="90"/>
      <c r="E84" s="90"/>
      <c r="F84" s="90"/>
      <c r="G84" s="96"/>
      <c r="H84" s="90"/>
      <c r="I84" s="90"/>
      <c r="J84" s="90"/>
      <c r="K84" s="97"/>
      <c r="L84" s="90"/>
      <c r="M84" s="90"/>
      <c r="N84" s="90"/>
      <c r="O84" s="99"/>
      <c r="P84" s="90"/>
    </row>
    <row r="85" spans="1:16">
      <c r="A85" s="98">
        <v>80</v>
      </c>
      <c r="B85" s="89"/>
      <c r="C85" s="96"/>
      <c r="D85" s="90"/>
      <c r="E85" s="90"/>
      <c r="F85" s="90"/>
      <c r="G85" s="96"/>
      <c r="H85" s="90"/>
      <c r="I85" s="90"/>
      <c r="J85" s="90"/>
      <c r="K85" s="97"/>
      <c r="L85" s="90"/>
      <c r="M85" s="90"/>
      <c r="N85" s="90"/>
      <c r="O85" s="99"/>
      <c r="P85" s="90"/>
    </row>
    <row r="86" spans="1:16">
      <c r="A86" s="98">
        <v>81</v>
      </c>
      <c r="B86" s="89"/>
      <c r="C86" s="96"/>
      <c r="D86" s="90"/>
      <c r="E86" s="90"/>
      <c r="F86" s="90"/>
      <c r="G86" s="96"/>
      <c r="H86" s="90"/>
      <c r="I86" s="90"/>
      <c r="J86" s="90"/>
      <c r="K86" s="97"/>
      <c r="L86" s="90"/>
      <c r="M86" s="90"/>
      <c r="N86" s="90"/>
      <c r="O86" s="99"/>
      <c r="P86" s="90"/>
    </row>
    <row r="87" spans="1:16">
      <c r="A87" s="98">
        <v>82</v>
      </c>
      <c r="B87" s="89"/>
      <c r="C87" s="96"/>
      <c r="D87" s="90"/>
      <c r="E87" s="90"/>
      <c r="F87" s="90"/>
      <c r="G87" s="96"/>
      <c r="H87" s="90"/>
      <c r="I87" s="90"/>
      <c r="J87" s="90"/>
      <c r="K87" s="97"/>
      <c r="L87" s="90"/>
      <c r="M87" s="90"/>
      <c r="N87" s="90"/>
      <c r="O87" s="99"/>
      <c r="P87" s="90"/>
    </row>
    <row r="88" spans="1:16">
      <c r="A88" s="98">
        <v>83</v>
      </c>
      <c r="B88" s="89"/>
      <c r="C88" s="96"/>
      <c r="D88" s="90"/>
      <c r="E88" s="90"/>
      <c r="F88" s="90"/>
      <c r="G88" s="96"/>
      <c r="H88" s="90"/>
      <c r="I88" s="90"/>
      <c r="J88" s="90"/>
      <c r="K88" s="97"/>
      <c r="L88" s="90"/>
      <c r="M88" s="90"/>
      <c r="N88" s="90"/>
      <c r="O88" s="99"/>
      <c r="P88" s="90"/>
    </row>
    <row r="89" spans="1:16">
      <c r="A89" s="98">
        <v>84</v>
      </c>
      <c r="B89" s="89"/>
      <c r="C89" s="96"/>
      <c r="D89" s="90"/>
      <c r="E89" s="90"/>
      <c r="F89" s="90"/>
      <c r="G89" s="96"/>
      <c r="H89" s="90"/>
      <c r="I89" s="90"/>
      <c r="J89" s="90"/>
      <c r="K89" s="97"/>
      <c r="L89" s="90"/>
      <c r="M89" s="90"/>
      <c r="N89" s="90"/>
      <c r="O89" s="99"/>
      <c r="P89" s="90"/>
    </row>
    <row r="90" spans="1:16">
      <c r="A90" s="98">
        <v>85</v>
      </c>
      <c r="B90" s="89"/>
      <c r="C90" s="96"/>
      <c r="D90" s="90"/>
      <c r="E90" s="90"/>
      <c r="F90" s="90"/>
      <c r="G90" s="96"/>
      <c r="H90" s="90"/>
      <c r="I90" s="90"/>
      <c r="J90" s="90"/>
      <c r="K90" s="97"/>
      <c r="L90" s="90"/>
      <c r="M90" s="90"/>
      <c r="N90" s="90"/>
      <c r="O90" s="99"/>
      <c r="P90" s="90"/>
    </row>
    <row r="91" spans="1:16">
      <c r="A91" s="98">
        <v>86</v>
      </c>
      <c r="B91" s="89"/>
      <c r="C91" s="96"/>
      <c r="D91" s="90"/>
      <c r="E91" s="90"/>
      <c r="F91" s="90"/>
      <c r="G91" s="96"/>
      <c r="H91" s="90"/>
      <c r="I91" s="90"/>
      <c r="J91" s="90"/>
      <c r="K91" s="97"/>
      <c r="L91" s="90"/>
      <c r="M91" s="90"/>
      <c r="N91" s="90"/>
      <c r="O91" s="99"/>
      <c r="P91" s="90"/>
    </row>
    <row r="92" spans="1:16">
      <c r="A92" s="98">
        <v>87</v>
      </c>
      <c r="B92" s="89"/>
      <c r="C92" s="96"/>
      <c r="D92" s="90"/>
      <c r="E92" s="90"/>
      <c r="F92" s="90"/>
      <c r="G92" s="96"/>
      <c r="H92" s="90"/>
      <c r="I92" s="90"/>
      <c r="J92" s="90"/>
      <c r="K92" s="97"/>
      <c r="L92" s="90"/>
      <c r="M92" s="90"/>
      <c r="N92" s="90"/>
      <c r="O92" s="99"/>
      <c r="P92" s="90"/>
    </row>
    <row r="93" spans="1:16">
      <c r="A93" s="98">
        <v>88</v>
      </c>
      <c r="B93" s="89"/>
      <c r="C93" s="96"/>
      <c r="D93" s="90"/>
      <c r="E93" s="90"/>
      <c r="F93" s="90"/>
      <c r="G93" s="96"/>
      <c r="H93" s="90"/>
      <c r="I93" s="90"/>
      <c r="J93" s="90"/>
      <c r="K93" s="97"/>
      <c r="L93" s="90"/>
      <c r="M93" s="90"/>
      <c r="N93" s="90"/>
      <c r="O93" s="99"/>
      <c r="P93" s="90"/>
    </row>
    <row r="94" spans="1:16">
      <c r="A94" s="98">
        <v>89</v>
      </c>
      <c r="B94" s="89"/>
      <c r="C94" s="96"/>
      <c r="D94" s="90"/>
      <c r="E94" s="90"/>
      <c r="F94" s="90"/>
      <c r="G94" s="96"/>
      <c r="H94" s="90"/>
      <c r="I94" s="90"/>
      <c r="J94" s="90"/>
      <c r="K94" s="97"/>
      <c r="L94" s="90"/>
      <c r="M94" s="90"/>
      <c r="N94" s="90"/>
      <c r="O94" s="99"/>
      <c r="P94" s="90"/>
    </row>
    <row r="95" spans="1:16">
      <c r="A95" s="98">
        <v>90</v>
      </c>
      <c r="B95" s="89"/>
      <c r="C95" s="96"/>
      <c r="D95" s="90"/>
      <c r="E95" s="90"/>
      <c r="F95" s="90"/>
      <c r="G95" s="96"/>
      <c r="H95" s="90"/>
      <c r="I95" s="90"/>
      <c r="J95" s="90"/>
      <c r="K95" s="97"/>
      <c r="L95" s="90"/>
      <c r="M95" s="90"/>
      <c r="N95" s="90"/>
      <c r="O95" s="99"/>
      <c r="P95" s="90"/>
    </row>
    <row r="96" spans="1:16">
      <c r="A96" s="98">
        <v>91</v>
      </c>
      <c r="B96" s="89"/>
      <c r="C96" s="96"/>
      <c r="D96" s="90"/>
      <c r="E96" s="90"/>
      <c r="F96" s="90"/>
      <c r="G96" s="96"/>
      <c r="H96" s="90"/>
      <c r="I96" s="90"/>
      <c r="J96" s="90"/>
      <c r="K96" s="97"/>
      <c r="L96" s="90"/>
      <c r="M96" s="90"/>
      <c r="N96" s="90"/>
      <c r="O96" s="99"/>
      <c r="P96" s="90"/>
    </row>
    <row r="97" spans="1:16">
      <c r="A97" s="98">
        <v>92</v>
      </c>
      <c r="B97" s="89"/>
      <c r="C97" s="96"/>
      <c r="D97" s="90"/>
      <c r="E97" s="90"/>
      <c r="F97" s="90"/>
      <c r="G97" s="96"/>
      <c r="H97" s="90"/>
      <c r="I97" s="90"/>
      <c r="J97" s="90"/>
      <c r="K97" s="97"/>
      <c r="L97" s="90"/>
      <c r="M97" s="90"/>
      <c r="N97" s="90"/>
      <c r="O97" s="99"/>
      <c r="P97" s="90"/>
    </row>
    <row r="98" spans="1:16">
      <c r="A98" s="98">
        <v>93</v>
      </c>
      <c r="B98" s="89"/>
      <c r="C98" s="96"/>
      <c r="D98" s="90"/>
      <c r="E98" s="90"/>
      <c r="F98" s="90"/>
      <c r="G98" s="96"/>
      <c r="H98" s="90"/>
      <c r="I98" s="90"/>
      <c r="J98" s="90"/>
      <c r="K98" s="97"/>
      <c r="L98" s="90"/>
      <c r="M98" s="90"/>
      <c r="N98" s="90"/>
      <c r="O98" s="99"/>
      <c r="P98" s="90"/>
    </row>
    <row r="99" spans="1:16">
      <c r="A99" s="98">
        <v>94</v>
      </c>
      <c r="B99" s="89"/>
      <c r="C99" s="96"/>
      <c r="D99" s="90"/>
      <c r="E99" s="90"/>
      <c r="F99" s="90"/>
      <c r="G99" s="96"/>
      <c r="H99" s="90"/>
      <c r="I99" s="90"/>
      <c r="J99" s="90"/>
      <c r="K99" s="97"/>
      <c r="L99" s="90"/>
      <c r="M99" s="90"/>
      <c r="N99" s="90"/>
      <c r="O99" s="99"/>
      <c r="P99" s="90"/>
    </row>
    <row r="100" spans="1:16">
      <c r="A100" s="98">
        <v>95</v>
      </c>
      <c r="B100" s="89"/>
      <c r="C100" s="96"/>
      <c r="D100" s="90"/>
      <c r="E100" s="90"/>
      <c r="F100" s="90"/>
      <c r="G100" s="96"/>
      <c r="H100" s="90"/>
      <c r="I100" s="90"/>
      <c r="J100" s="90"/>
      <c r="K100" s="97"/>
      <c r="L100" s="90"/>
      <c r="M100" s="90"/>
      <c r="N100" s="90"/>
      <c r="O100" s="99"/>
      <c r="P100" s="90"/>
    </row>
    <row r="101" spans="1:16">
      <c r="A101" s="98">
        <v>96</v>
      </c>
      <c r="B101" s="89"/>
      <c r="C101" s="96"/>
      <c r="D101" s="90"/>
      <c r="E101" s="90"/>
      <c r="F101" s="90"/>
      <c r="G101" s="96"/>
      <c r="H101" s="90"/>
      <c r="I101" s="90"/>
      <c r="J101" s="90"/>
      <c r="K101" s="97"/>
      <c r="L101" s="90"/>
      <c r="M101" s="90"/>
      <c r="N101" s="90"/>
      <c r="O101" s="99"/>
      <c r="P101" s="90"/>
    </row>
    <row r="102" spans="1:16">
      <c r="A102" s="98">
        <v>97</v>
      </c>
      <c r="B102" s="89"/>
      <c r="C102" s="96"/>
      <c r="D102" s="90"/>
      <c r="E102" s="90"/>
      <c r="F102" s="90"/>
      <c r="G102" s="96"/>
      <c r="H102" s="90"/>
      <c r="I102" s="90"/>
      <c r="J102" s="90"/>
      <c r="K102" s="97"/>
      <c r="L102" s="90"/>
      <c r="M102" s="90"/>
      <c r="N102" s="90"/>
      <c r="O102" s="99"/>
      <c r="P102" s="90"/>
    </row>
    <row r="103" spans="1:16">
      <c r="A103" s="98">
        <v>98</v>
      </c>
      <c r="B103" s="89"/>
      <c r="C103" s="96"/>
      <c r="D103" s="90"/>
      <c r="E103" s="90"/>
      <c r="F103" s="90"/>
      <c r="G103" s="96"/>
      <c r="H103" s="90"/>
      <c r="I103" s="90"/>
      <c r="J103" s="90"/>
      <c r="K103" s="97"/>
      <c r="L103" s="90"/>
      <c r="M103" s="90"/>
      <c r="N103" s="90"/>
      <c r="O103" s="99"/>
      <c r="P103" s="90"/>
    </row>
    <row r="104" spans="1:16">
      <c r="A104" s="98">
        <v>99</v>
      </c>
      <c r="B104" s="89"/>
      <c r="C104" s="96"/>
      <c r="D104" s="90"/>
      <c r="E104" s="90"/>
      <c r="F104" s="90"/>
      <c r="G104" s="96"/>
      <c r="H104" s="90"/>
      <c r="I104" s="90"/>
      <c r="J104" s="90"/>
      <c r="K104" s="97"/>
      <c r="L104" s="90"/>
      <c r="M104" s="90"/>
      <c r="N104" s="90"/>
      <c r="O104" s="99"/>
      <c r="P104" s="90"/>
    </row>
    <row r="105" spans="1:16">
      <c r="A105" s="98">
        <v>100</v>
      </c>
      <c r="B105" s="89"/>
      <c r="C105" s="96"/>
      <c r="D105" s="90"/>
      <c r="E105" s="90"/>
      <c r="F105" s="90"/>
      <c r="G105" s="96"/>
      <c r="H105" s="90"/>
      <c r="I105" s="90"/>
      <c r="J105" s="90"/>
      <c r="K105" s="97"/>
      <c r="L105" s="90"/>
      <c r="M105" s="90"/>
      <c r="N105" s="90"/>
      <c r="O105" s="99"/>
      <c r="P105" s="90"/>
    </row>
    <row r="106" spans="1:16">
      <c r="A106" s="98">
        <v>101</v>
      </c>
      <c r="B106" s="89"/>
      <c r="C106" s="96"/>
      <c r="D106" s="90"/>
      <c r="E106" s="90"/>
      <c r="F106" s="90"/>
      <c r="G106" s="96"/>
      <c r="H106" s="90"/>
      <c r="I106" s="90"/>
      <c r="J106" s="90"/>
      <c r="K106" s="97"/>
      <c r="L106" s="90"/>
      <c r="M106" s="90"/>
      <c r="N106" s="90"/>
      <c r="O106" s="99"/>
      <c r="P106" s="90"/>
    </row>
    <row r="107" spans="1:16">
      <c r="A107" s="98">
        <v>102</v>
      </c>
      <c r="B107" s="89"/>
      <c r="C107" s="96"/>
      <c r="D107" s="90"/>
      <c r="E107" s="90"/>
      <c r="F107" s="90"/>
      <c r="G107" s="96"/>
      <c r="H107" s="90"/>
      <c r="I107" s="90"/>
      <c r="J107" s="90"/>
      <c r="K107" s="97"/>
      <c r="L107" s="90"/>
      <c r="M107" s="90"/>
      <c r="N107" s="90"/>
      <c r="O107" s="99"/>
      <c r="P107" s="90"/>
    </row>
    <row r="108" spans="1:16">
      <c r="A108" s="98">
        <v>103</v>
      </c>
      <c r="B108" s="89"/>
      <c r="C108" s="96"/>
      <c r="D108" s="90"/>
      <c r="E108" s="90"/>
      <c r="F108" s="90"/>
      <c r="G108" s="96"/>
      <c r="H108" s="90"/>
      <c r="I108" s="90"/>
      <c r="J108" s="90"/>
      <c r="K108" s="97"/>
      <c r="L108" s="90"/>
      <c r="M108" s="90"/>
      <c r="N108" s="90"/>
      <c r="O108" s="99"/>
      <c r="P108" s="90"/>
    </row>
    <row r="109" spans="1:16">
      <c r="A109" s="98">
        <v>104</v>
      </c>
      <c r="B109" s="89"/>
      <c r="C109" s="96"/>
      <c r="D109" s="90"/>
      <c r="E109" s="90"/>
      <c r="F109" s="90"/>
      <c r="G109" s="96"/>
      <c r="H109" s="90"/>
      <c r="I109" s="90"/>
      <c r="J109" s="90"/>
      <c r="K109" s="97"/>
      <c r="L109" s="90"/>
      <c r="M109" s="90"/>
      <c r="N109" s="90"/>
      <c r="O109" s="99"/>
      <c r="P109" s="90"/>
    </row>
    <row r="110" spans="1:16">
      <c r="A110" s="98">
        <v>105</v>
      </c>
      <c r="B110" s="89"/>
      <c r="C110" s="96"/>
      <c r="D110" s="90"/>
      <c r="E110" s="90"/>
      <c r="F110" s="90"/>
      <c r="G110" s="96"/>
      <c r="H110" s="90"/>
      <c r="I110" s="90"/>
      <c r="J110" s="90"/>
      <c r="K110" s="97"/>
      <c r="L110" s="90"/>
      <c r="M110" s="90"/>
      <c r="N110" s="90"/>
      <c r="O110" s="99"/>
      <c r="P110" s="90"/>
    </row>
    <row r="111" spans="1:16">
      <c r="A111" s="98">
        <v>106</v>
      </c>
      <c r="B111" s="89"/>
      <c r="C111" s="96"/>
      <c r="D111" s="90"/>
      <c r="E111" s="90"/>
      <c r="F111" s="90"/>
      <c r="G111" s="96"/>
      <c r="H111" s="90"/>
      <c r="I111" s="90"/>
      <c r="J111" s="90"/>
      <c r="K111" s="97"/>
      <c r="L111" s="90"/>
      <c r="M111" s="90"/>
      <c r="N111" s="90"/>
      <c r="O111" s="99"/>
      <c r="P111" s="90"/>
    </row>
    <row r="112" spans="1:16">
      <c r="A112" s="98">
        <v>107</v>
      </c>
      <c r="B112" s="89"/>
      <c r="C112" s="96"/>
      <c r="D112" s="90"/>
      <c r="E112" s="90"/>
      <c r="F112" s="90"/>
      <c r="G112" s="96"/>
      <c r="H112" s="90"/>
      <c r="I112" s="90"/>
      <c r="J112" s="90"/>
      <c r="K112" s="97"/>
      <c r="L112" s="90"/>
      <c r="M112" s="90"/>
      <c r="N112" s="90"/>
      <c r="O112" s="99"/>
      <c r="P112" s="90"/>
    </row>
    <row r="113" spans="1:16">
      <c r="A113" s="98">
        <v>108</v>
      </c>
      <c r="B113" s="89"/>
      <c r="C113" s="96"/>
      <c r="D113" s="90"/>
      <c r="E113" s="90"/>
      <c r="F113" s="90"/>
      <c r="G113" s="96"/>
      <c r="H113" s="90"/>
      <c r="I113" s="90"/>
      <c r="J113" s="90"/>
      <c r="K113" s="97"/>
      <c r="L113" s="90"/>
      <c r="M113" s="90"/>
      <c r="N113" s="90"/>
      <c r="O113" s="99"/>
      <c r="P113" s="90"/>
    </row>
    <row r="114" spans="1:16">
      <c r="A114" s="98">
        <v>109</v>
      </c>
      <c r="B114" s="89"/>
      <c r="C114" s="96"/>
      <c r="D114" s="90"/>
      <c r="E114" s="90"/>
      <c r="F114" s="90"/>
      <c r="G114" s="96"/>
      <c r="H114" s="90"/>
      <c r="I114" s="90"/>
      <c r="J114" s="90"/>
      <c r="K114" s="97"/>
      <c r="L114" s="90"/>
      <c r="M114" s="90"/>
      <c r="N114" s="90"/>
      <c r="O114" s="99"/>
      <c r="P114" s="90"/>
    </row>
    <row r="115" spans="1:16">
      <c r="A115" s="98">
        <v>110</v>
      </c>
      <c r="B115" s="89"/>
      <c r="C115" s="96"/>
      <c r="D115" s="90"/>
      <c r="E115" s="90"/>
      <c r="F115" s="90"/>
      <c r="G115" s="96"/>
      <c r="H115" s="90"/>
      <c r="I115" s="90"/>
      <c r="J115" s="90"/>
      <c r="K115" s="97"/>
      <c r="L115" s="90"/>
      <c r="M115" s="90"/>
      <c r="N115" s="90"/>
      <c r="O115" s="99"/>
      <c r="P115" s="90"/>
    </row>
    <row r="116" spans="1:16">
      <c r="A116" s="98">
        <v>111</v>
      </c>
      <c r="B116" s="89"/>
      <c r="C116" s="96"/>
      <c r="D116" s="90"/>
      <c r="E116" s="90"/>
      <c r="F116" s="90"/>
      <c r="G116" s="96"/>
      <c r="H116" s="90"/>
      <c r="I116" s="90"/>
      <c r="J116" s="90"/>
      <c r="K116" s="97"/>
      <c r="L116" s="90"/>
      <c r="M116" s="90"/>
      <c r="N116" s="90"/>
      <c r="O116" s="99"/>
      <c r="P116" s="90"/>
    </row>
    <row r="117" spans="1:16">
      <c r="A117" s="98">
        <v>112</v>
      </c>
      <c r="B117" s="89"/>
      <c r="C117" s="96"/>
      <c r="D117" s="90"/>
      <c r="E117" s="90"/>
      <c r="F117" s="90"/>
      <c r="G117" s="96"/>
      <c r="H117" s="90"/>
      <c r="I117" s="90"/>
      <c r="J117" s="90"/>
      <c r="K117" s="97"/>
      <c r="L117" s="90"/>
      <c r="M117" s="90"/>
      <c r="N117" s="90"/>
      <c r="O117" s="99"/>
      <c r="P117" s="90"/>
    </row>
    <row r="118" spans="1:16">
      <c r="A118" s="98">
        <v>113</v>
      </c>
      <c r="B118" s="89"/>
      <c r="C118" s="96"/>
      <c r="D118" s="90"/>
      <c r="E118" s="90"/>
      <c r="F118" s="90"/>
      <c r="G118" s="96"/>
      <c r="H118" s="90"/>
      <c r="I118" s="90"/>
      <c r="J118" s="90"/>
      <c r="K118" s="97"/>
      <c r="L118" s="90"/>
      <c r="M118" s="90"/>
      <c r="N118" s="90"/>
      <c r="O118" s="99"/>
      <c r="P118" s="90"/>
    </row>
    <row r="119" spans="1:16">
      <c r="A119" s="98">
        <v>114</v>
      </c>
      <c r="B119" s="89"/>
      <c r="C119" s="96"/>
      <c r="D119" s="90"/>
      <c r="E119" s="90"/>
      <c r="F119" s="90"/>
      <c r="G119" s="96"/>
      <c r="H119" s="90"/>
      <c r="I119" s="90"/>
      <c r="J119" s="90"/>
      <c r="K119" s="97"/>
      <c r="L119" s="90"/>
      <c r="M119" s="90"/>
      <c r="N119" s="90"/>
      <c r="O119" s="99"/>
      <c r="P119" s="90"/>
    </row>
    <row r="120" spans="1:16">
      <c r="A120" s="98">
        <v>115</v>
      </c>
      <c r="B120" s="89"/>
      <c r="C120" s="96"/>
      <c r="D120" s="90"/>
      <c r="E120" s="90"/>
      <c r="F120" s="90"/>
      <c r="G120" s="96"/>
      <c r="H120" s="90"/>
      <c r="I120" s="90"/>
      <c r="J120" s="90"/>
      <c r="K120" s="97"/>
      <c r="L120" s="90"/>
      <c r="M120" s="90"/>
      <c r="N120" s="90"/>
      <c r="O120" s="99"/>
      <c r="P120" s="90"/>
    </row>
    <row r="121" spans="1:16">
      <c r="A121" s="98">
        <v>116</v>
      </c>
      <c r="B121" s="89"/>
      <c r="C121" s="96"/>
      <c r="D121" s="90"/>
      <c r="E121" s="90"/>
      <c r="F121" s="90"/>
      <c r="G121" s="96"/>
      <c r="H121" s="90"/>
      <c r="I121" s="90"/>
      <c r="J121" s="90"/>
      <c r="K121" s="97"/>
      <c r="L121" s="90"/>
      <c r="M121" s="90"/>
      <c r="N121" s="90"/>
      <c r="O121" s="99"/>
      <c r="P121" s="90"/>
    </row>
    <row r="122" spans="1:16">
      <c r="A122" s="98">
        <v>117</v>
      </c>
      <c r="B122" s="89"/>
      <c r="C122" s="96"/>
      <c r="D122" s="90"/>
      <c r="E122" s="90"/>
      <c r="F122" s="90"/>
      <c r="G122" s="96"/>
      <c r="H122" s="90"/>
      <c r="I122" s="90"/>
      <c r="J122" s="90"/>
      <c r="K122" s="97"/>
      <c r="L122" s="90"/>
      <c r="M122" s="90"/>
      <c r="N122" s="90"/>
      <c r="O122" s="99"/>
      <c r="P122" s="90"/>
    </row>
    <row r="123" spans="1:16">
      <c r="A123" s="98">
        <v>118</v>
      </c>
      <c r="B123" s="89"/>
      <c r="C123" s="96"/>
      <c r="D123" s="90"/>
      <c r="E123" s="90"/>
      <c r="F123" s="90"/>
      <c r="G123" s="96"/>
      <c r="H123" s="90"/>
      <c r="I123" s="90"/>
      <c r="J123" s="90"/>
      <c r="K123" s="97"/>
      <c r="L123" s="90"/>
      <c r="M123" s="90"/>
      <c r="N123" s="90"/>
      <c r="O123" s="99"/>
      <c r="P123" s="90"/>
    </row>
    <row r="124" spans="1:16">
      <c r="A124" s="98">
        <v>119</v>
      </c>
      <c r="B124" s="89"/>
      <c r="C124" s="96"/>
      <c r="D124" s="90"/>
      <c r="E124" s="90"/>
      <c r="F124" s="90"/>
      <c r="G124" s="96"/>
      <c r="H124" s="90"/>
      <c r="I124" s="90"/>
      <c r="J124" s="90"/>
      <c r="K124" s="97"/>
      <c r="L124" s="90"/>
      <c r="M124" s="90"/>
      <c r="N124" s="90"/>
      <c r="O124" s="99"/>
      <c r="P124" s="90"/>
    </row>
    <row r="125" spans="1:16">
      <c r="A125" s="98">
        <v>120</v>
      </c>
      <c r="B125" s="89"/>
      <c r="C125" s="96"/>
      <c r="D125" s="90"/>
      <c r="E125" s="90"/>
      <c r="F125" s="90"/>
      <c r="G125" s="96"/>
      <c r="H125" s="90"/>
      <c r="I125" s="90"/>
      <c r="J125" s="90"/>
      <c r="K125" s="97"/>
      <c r="L125" s="90"/>
      <c r="M125" s="90"/>
      <c r="N125" s="90"/>
      <c r="O125" s="99"/>
      <c r="P125" s="90"/>
    </row>
    <row r="126" spans="1:16">
      <c r="A126" s="98">
        <v>121</v>
      </c>
      <c r="B126" s="89"/>
      <c r="C126" s="96"/>
      <c r="D126" s="90"/>
      <c r="E126" s="90"/>
      <c r="F126" s="90"/>
      <c r="G126" s="96"/>
      <c r="H126" s="90"/>
      <c r="I126" s="90"/>
      <c r="J126" s="90"/>
      <c r="K126" s="97"/>
      <c r="L126" s="90"/>
      <c r="M126" s="90"/>
      <c r="N126" s="90"/>
      <c r="O126" s="99"/>
      <c r="P126" s="90"/>
    </row>
    <row r="127" spans="1:16">
      <c r="A127" s="98">
        <v>122</v>
      </c>
      <c r="B127" s="89"/>
      <c r="C127" s="96"/>
      <c r="D127" s="90"/>
      <c r="E127" s="90"/>
      <c r="F127" s="90"/>
      <c r="G127" s="96"/>
      <c r="H127" s="90"/>
      <c r="I127" s="90"/>
      <c r="J127" s="90"/>
      <c r="K127" s="97"/>
      <c r="L127" s="90"/>
      <c r="M127" s="90"/>
      <c r="N127" s="90"/>
      <c r="O127" s="99"/>
      <c r="P127" s="90"/>
    </row>
    <row r="128" spans="1:16">
      <c r="A128" s="98">
        <v>123</v>
      </c>
      <c r="B128" s="89"/>
      <c r="C128" s="96"/>
      <c r="D128" s="90"/>
      <c r="E128" s="90"/>
      <c r="F128" s="90"/>
      <c r="G128" s="96"/>
      <c r="H128" s="90"/>
      <c r="I128" s="90"/>
      <c r="J128" s="90"/>
      <c r="K128" s="97"/>
      <c r="L128" s="90"/>
      <c r="M128" s="90"/>
      <c r="N128" s="90"/>
      <c r="O128" s="99"/>
      <c r="P128" s="90"/>
    </row>
    <row r="129" spans="1:16">
      <c r="A129" s="98">
        <v>124</v>
      </c>
      <c r="B129" s="89"/>
      <c r="C129" s="96"/>
      <c r="D129" s="90"/>
      <c r="E129" s="90"/>
      <c r="F129" s="90"/>
      <c r="G129" s="96"/>
      <c r="H129" s="90"/>
      <c r="I129" s="90"/>
      <c r="J129" s="90"/>
      <c r="K129" s="97"/>
      <c r="L129" s="90"/>
      <c r="M129" s="90"/>
      <c r="N129" s="90"/>
      <c r="O129" s="99"/>
      <c r="P129" s="90"/>
    </row>
    <row r="130" spans="1:16">
      <c r="A130" s="98">
        <v>125</v>
      </c>
      <c r="B130" s="89"/>
      <c r="C130" s="96"/>
      <c r="D130" s="90"/>
      <c r="E130" s="90"/>
      <c r="F130" s="90"/>
      <c r="G130" s="96"/>
      <c r="H130" s="90"/>
      <c r="I130" s="90"/>
      <c r="J130" s="90"/>
      <c r="K130" s="97"/>
      <c r="L130" s="90"/>
      <c r="M130" s="90"/>
      <c r="N130" s="90"/>
      <c r="O130" s="99"/>
      <c r="P130" s="90"/>
    </row>
    <row r="131" spans="1:16">
      <c r="A131" s="98">
        <v>126</v>
      </c>
      <c r="B131" s="89"/>
      <c r="C131" s="96"/>
      <c r="D131" s="90"/>
      <c r="E131" s="90"/>
      <c r="F131" s="90"/>
      <c r="G131" s="96"/>
      <c r="H131" s="90"/>
      <c r="I131" s="90"/>
      <c r="J131" s="90"/>
      <c r="K131" s="97"/>
      <c r="L131" s="90"/>
      <c r="M131" s="90"/>
      <c r="N131" s="90"/>
      <c r="O131" s="99"/>
      <c r="P131" s="90"/>
    </row>
    <row r="132" spans="1:16">
      <c r="A132" s="98">
        <v>127</v>
      </c>
      <c r="B132" s="89"/>
      <c r="C132" s="96"/>
      <c r="D132" s="90"/>
      <c r="E132" s="90"/>
      <c r="F132" s="90"/>
      <c r="G132" s="96"/>
      <c r="H132" s="90"/>
      <c r="I132" s="90"/>
      <c r="J132" s="90"/>
      <c r="K132" s="97"/>
      <c r="L132" s="90"/>
      <c r="M132" s="90"/>
      <c r="N132" s="90"/>
      <c r="O132" s="99"/>
      <c r="P132" s="90"/>
    </row>
    <row r="133" spans="1:16">
      <c r="A133" s="98">
        <v>128</v>
      </c>
      <c r="B133" s="89"/>
      <c r="C133" s="96"/>
      <c r="D133" s="90"/>
      <c r="E133" s="90"/>
      <c r="F133" s="90"/>
      <c r="G133" s="96"/>
      <c r="H133" s="90"/>
      <c r="I133" s="90"/>
      <c r="J133" s="90"/>
      <c r="K133" s="97"/>
      <c r="L133" s="90"/>
      <c r="M133" s="90"/>
      <c r="N133" s="90"/>
      <c r="O133" s="99"/>
      <c r="P133" s="90"/>
    </row>
    <row r="134" spans="1:16">
      <c r="A134" s="98">
        <v>129</v>
      </c>
      <c r="B134" s="89"/>
      <c r="C134" s="96"/>
      <c r="D134" s="90"/>
      <c r="E134" s="90"/>
      <c r="F134" s="90"/>
      <c r="G134" s="96"/>
      <c r="H134" s="90"/>
      <c r="I134" s="90"/>
      <c r="J134" s="90"/>
      <c r="K134" s="97"/>
      <c r="L134" s="90"/>
      <c r="M134" s="90"/>
      <c r="N134" s="90"/>
      <c r="O134" s="99"/>
      <c r="P134" s="90"/>
    </row>
    <row r="135" spans="1:16">
      <c r="A135" s="98">
        <v>130</v>
      </c>
      <c r="B135" s="89"/>
      <c r="C135" s="96"/>
      <c r="D135" s="90"/>
      <c r="E135" s="90"/>
      <c r="F135" s="90"/>
      <c r="G135" s="96"/>
      <c r="H135" s="90"/>
      <c r="I135" s="90"/>
      <c r="J135" s="90"/>
      <c r="K135" s="97"/>
      <c r="L135" s="90"/>
      <c r="M135" s="90"/>
      <c r="N135" s="90"/>
      <c r="O135" s="99"/>
      <c r="P135" s="90"/>
    </row>
    <row r="136" spans="1:16">
      <c r="A136" s="98">
        <v>131</v>
      </c>
      <c r="B136" s="89"/>
      <c r="C136" s="96"/>
      <c r="D136" s="90"/>
      <c r="E136" s="90"/>
      <c r="F136" s="90"/>
      <c r="G136" s="96"/>
      <c r="H136" s="90"/>
      <c r="I136" s="90"/>
      <c r="J136" s="90"/>
      <c r="K136" s="97"/>
      <c r="L136" s="90"/>
      <c r="M136" s="90"/>
      <c r="N136" s="90"/>
      <c r="O136" s="99"/>
      <c r="P136" s="90"/>
    </row>
    <row r="137" spans="1:16">
      <c r="A137" s="98">
        <v>132</v>
      </c>
      <c r="B137" s="89"/>
      <c r="C137" s="96"/>
      <c r="D137" s="90"/>
      <c r="E137" s="90"/>
      <c r="F137" s="90"/>
      <c r="G137" s="96"/>
      <c r="H137" s="90"/>
      <c r="I137" s="90"/>
      <c r="J137" s="90"/>
      <c r="K137" s="97"/>
      <c r="L137" s="90"/>
      <c r="M137" s="90"/>
      <c r="N137" s="90"/>
      <c r="O137" s="99"/>
      <c r="P137" s="90"/>
    </row>
    <row r="138" spans="1:16">
      <c r="A138" s="98">
        <v>133</v>
      </c>
      <c r="B138" s="89"/>
      <c r="C138" s="96"/>
      <c r="D138" s="90"/>
      <c r="E138" s="90"/>
      <c r="F138" s="90"/>
      <c r="G138" s="96"/>
      <c r="H138" s="90"/>
      <c r="I138" s="90"/>
      <c r="J138" s="90"/>
      <c r="K138" s="97"/>
      <c r="L138" s="90"/>
      <c r="M138" s="90"/>
      <c r="N138" s="90"/>
      <c r="O138" s="99"/>
      <c r="P138" s="90"/>
    </row>
    <row r="139" spans="1:16">
      <c r="A139" s="98">
        <v>134</v>
      </c>
      <c r="B139" s="89"/>
      <c r="C139" s="96"/>
      <c r="D139" s="90"/>
      <c r="E139" s="90"/>
      <c r="F139" s="90"/>
      <c r="G139" s="96"/>
      <c r="H139" s="90"/>
      <c r="I139" s="90"/>
      <c r="J139" s="90"/>
      <c r="K139" s="97"/>
      <c r="L139" s="90"/>
      <c r="M139" s="90"/>
      <c r="N139" s="90"/>
      <c r="O139" s="99"/>
      <c r="P139" s="90"/>
    </row>
    <row r="140" spans="1:16">
      <c r="A140" s="98">
        <v>135</v>
      </c>
      <c r="B140" s="89"/>
      <c r="C140" s="96"/>
      <c r="D140" s="90"/>
      <c r="E140" s="90"/>
      <c r="F140" s="90"/>
      <c r="G140" s="96"/>
      <c r="H140" s="90"/>
      <c r="I140" s="90"/>
      <c r="J140" s="90"/>
      <c r="K140" s="97"/>
      <c r="L140" s="90"/>
      <c r="M140" s="90"/>
      <c r="N140" s="90"/>
      <c r="O140" s="99"/>
      <c r="P140" s="90"/>
    </row>
    <row r="141" spans="1:16">
      <c r="A141" s="98">
        <v>136</v>
      </c>
      <c r="B141" s="89"/>
      <c r="C141" s="96"/>
      <c r="D141" s="90"/>
      <c r="E141" s="90"/>
      <c r="F141" s="90"/>
      <c r="G141" s="96"/>
      <c r="H141" s="90"/>
      <c r="I141" s="90"/>
      <c r="J141" s="90"/>
      <c r="K141" s="97"/>
      <c r="L141" s="90"/>
      <c r="M141" s="90"/>
      <c r="N141" s="90"/>
      <c r="O141" s="99"/>
      <c r="P141" s="90"/>
    </row>
    <row r="142" spans="1:16">
      <c r="A142" s="98">
        <v>137</v>
      </c>
      <c r="B142" s="89"/>
      <c r="C142" s="96"/>
      <c r="D142" s="90"/>
      <c r="E142" s="90"/>
      <c r="F142" s="90"/>
      <c r="G142" s="96"/>
      <c r="H142" s="90"/>
      <c r="I142" s="90"/>
      <c r="J142" s="90"/>
      <c r="K142" s="97"/>
      <c r="L142" s="90"/>
      <c r="M142" s="90"/>
      <c r="N142" s="90"/>
      <c r="O142" s="99"/>
      <c r="P142" s="90"/>
    </row>
    <row r="143" spans="1:16">
      <c r="A143" s="98">
        <v>138</v>
      </c>
      <c r="B143" s="89"/>
      <c r="C143" s="96"/>
      <c r="D143" s="90"/>
      <c r="E143" s="90"/>
      <c r="F143" s="90"/>
      <c r="G143" s="96"/>
      <c r="H143" s="90"/>
      <c r="I143" s="90"/>
      <c r="J143" s="90"/>
      <c r="K143" s="97"/>
      <c r="L143" s="90"/>
      <c r="M143" s="90"/>
      <c r="N143" s="90"/>
      <c r="O143" s="99"/>
      <c r="P143" s="90"/>
    </row>
    <row r="144" spans="1:16">
      <c r="A144" s="98">
        <v>139</v>
      </c>
      <c r="B144" s="89"/>
      <c r="C144" s="96"/>
      <c r="D144" s="90"/>
      <c r="E144" s="90"/>
      <c r="F144" s="90"/>
      <c r="G144" s="96"/>
      <c r="H144" s="90"/>
      <c r="I144" s="90"/>
      <c r="J144" s="90"/>
      <c r="K144" s="97"/>
      <c r="L144" s="90"/>
      <c r="M144" s="90"/>
      <c r="N144" s="90"/>
      <c r="O144" s="99"/>
      <c r="P144" s="90"/>
    </row>
    <row r="145" spans="1:16">
      <c r="A145" s="98">
        <v>140</v>
      </c>
      <c r="B145" s="89"/>
      <c r="C145" s="96"/>
      <c r="D145" s="90"/>
      <c r="E145" s="90"/>
      <c r="F145" s="90"/>
      <c r="G145" s="96"/>
      <c r="H145" s="90"/>
      <c r="I145" s="90"/>
      <c r="J145" s="90"/>
      <c r="K145" s="97"/>
      <c r="L145" s="90"/>
      <c r="M145" s="90"/>
      <c r="N145" s="90"/>
      <c r="O145" s="99"/>
      <c r="P145" s="90"/>
    </row>
    <row r="146" spans="1:16">
      <c r="A146" s="98">
        <v>141</v>
      </c>
      <c r="B146" s="89"/>
      <c r="C146" s="96"/>
      <c r="D146" s="90"/>
      <c r="E146" s="90"/>
      <c r="F146" s="90"/>
      <c r="G146" s="96"/>
      <c r="H146" s="90"/>
      <c r="I146" s="90"/>
      <c r="J146" s="90"/>
      <c r="K146" s="97"/>
      <c r="L146" s="90"/>
      <c r="M146" s="90"/>
      <c r="N146" s="90"/>
      <c r="O146" s="99"/>
      <c r="P146" s="90"/>
    </row>
    <row r="147" spans="1:16">
      <c r="A147" s="98">
        <v>142</v>
      </c>
      <c r="B147" s="89"/>
      <c r="C147" s="96"/>
      <c r="D147" s="90"/>
      <c r="E147" s="90"/>
      <c r="F147" s="90"/>
      <c r="G147" s="96"/>
      <c r="H147" s="90"/>
      <c r="I147" s="90"/>
      <c r="J147" s="90"/>
      <c r="K147" s="97"/>
      <c r="L147" s="90"/>
      <c r="M147" s="90"/>
      <c r="N147" s="90"/>
      <c r="O147" s="99"/>
      <c r="P147" s="90"/>
    </row>
    <row r="148" spans="1:16">
      <c r="A148" s="98">
        <v>143</v>
      </c>
      <c r="B148" s="89"/>
      <c r="C148" s="96"/>
      <c r="D148" s="90"/>
      <c r="E148" s="90"/>
      <c r="F148" s="90"/>
      <c r="G148" s="96"/>
      <c r="H148" s="90"/>
      <c r="I148" s="90"/>
      <c r="J148" s="90"/>
      <c r="K148" s="97"/>
      <c r="L148" s="90"/>
      <c r="M148" s="90"/>
      <c r="N148" s="90"/>
      <c r="O148" s="99"/>
      <c r="P148" s="90"/>
    </row>
    <row r="149" spans="1:16">
      <c r="A149" s="98">
        <v>144</v>
      </c>
      <c r="B149" s="89"/>
      <c r="C149" s="96"/>
      <c r="D149" s="90"/>
      <c r="E149" s="90"/>
      <c r="F149" s="90"/>
      <c r="G149" s="96"/>
      <c r="H149" s="90"/>
      <c r="I149" s="90"/>
      <c r="J149" s="90"/>
      <c r="K149" s="97"/>
      <c r="L149" s="90"/>
      <c r="M149" s="90"/>
      <c r="N149" s="90"/>
      <c r="O149" s="99"/>
      <c r="P149" s="90"/>
    </row>
    <row r="150" spans="1:16">
      <c r="A150" s="98">
        <v>145</v>
      </c>
      <c r="B150" s="89"/>
      <c r="C150" s="96"/>
      <c r="D150" s="90"/>
      <c r="E150" s="90"/>
      <c r="F150" s="90"/>
      <c r="G150" s="96"/>
      <c r="H150" s="90"/>
      <c r="I150" s="90"/>
      <c r="J150" s="90"/>
      <c r="K150" s="97"/>
      <c r="L150" s="90"/>
      <c r="M150" s="90"/>
      <c r="N150" s="90"/>
      <c r="O150" s="99"/>
    </row>
    <row r="151" spans="1:16">
      <c r="A151" s="98">
        <v>146</v>
      </c>
      <c r="B151" s="89"/>
      <c r="C151" s="96"/>
      <c r="D151" s="90"/>
      <c r="E151" s="90"/>
      <c r="F151" s="90"/>
      <c r="G151" s="96"/>
      <c r="H151" s="90"/>
      <c r="I151" s="90"/>
      <c r="J151" s="90"/>
      <c r="K151" s="97"/>
      <c r="L151" s="90"/>
      <c r="M151" s="90"/>
      <c r="N151" s="90"/>
      <c r="O151" s="99"/>
    </row>
    <row r="152" spans="1:16">
      <c r="A152" s="98">
        <v>147</v>
      </c>
      <c r="B152" s="89"/>
      <c r="C152" s="96"/>
      <c r="D152" s="90"/>
      <c r="E152" s="90"/>
      <c r="F152" s="90"/>
      <c r="G152" s="96"/>
      <c r="H152" s="90"/>
      <c r="I152" s="90"/>
      <c r="J152" s="90"/>
      <c r="K152" s="97"/>
      <c r="L152" s="90"/>
      <c r="M152" s="90"/>
      <c r="N152" s="90"/>
      <c r="O152" s="99"/>
    </row>
    <row r="153" spans="1:16">
      <c r="A153" s="98">
        <v>148</v>
      </c>
      <c r="B153" s="89"/>
      <c r="C153" s="96"/>
      <c r="D153" s="90"/>
      <c r="E153" s="90"/>
      <c r="F153" s="90"/>
      <c r="G153" s="96"/>
      <c r="H153" s="90"/>
      <c r="I153" s="90"/>
      <c r="J153" s="90"/>
      <c r="K153" s="97"/>
      <c r="L153" s="90"/>
      <c r="M153" s="90"/>
      <c r="N153" s="90"/>
      <c r="O153" s="99"/>
    </row>
    <row r="154" spans="1:16">
      <c r="A154" s="98">
        <v>149</v>
      </c>
      <c r="B154" s="89"/>
      <c r="C154" s="96"/>
      <c r="D154" s="90"/>
      <c r="E154" s="90"/>
      <c r="F154" s="90"/>
      <c r="G154" s="96"/>
      <c r="H154" s="90"/>
      <c r="I154" s="90"/>
      <c r="J154" s="90"/>
      <c r="K154" s="97"/>
      <c r="L154" s="90"/>
      <c r="M154" s="90"/>
      <c r="N154" s="90"/>
      <c r="O154" s="99"/>
    </row>
    <row r="155" spans="1:16" ht="13.5" thickBot="1">
      <c r="A155" s="98">
        <v>150</v>
      </c>
      <c r="B155" s="186"/>
      <c r="C155" s="187"/>
      <c r="D155" s="188"/>
      <c r="E155" s="188"/>
      <c r="F155" s="188"/>
      <c r="G155" s="187"/>
      <c r="H155" s="188"/>
      <c r="I155" s="188"/>
      <c r="J155" s="188"/>
      <c r="K155" s="189"/>
      <c r="L155" s="188"/>
      <c r="M155" s="188"/>
      <c r="N155" s="188"/>
      <c r="O155" s="190"/>
    </row>
    <row r="156" spans="1:16" ht="13.5" thickTop="1"/>
  </sheetData>
  <mergeCells count="3">
    <mergeCell ref="C4:F4"/>
    <mergeCell ref="G4:K4"/>
    <mergeCell ref="L4:O4"/>
  </mergeCells>
  <phoneticPr fontId="2" type="noConversion"/>
  <conditionalFormatting sqref="P2:P149 L2:O2 L6:O155">
    <cfRule type="cellIs" dxfId="1" priority="1" stopIfTrue="1" operator="greaterThan">
      <formula>0</formula>
    </cfRule>
  </conditionalFormatting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pageSetUpPr fitToPage="1"/>
  </sheetPr>
  <dimension ref="A32:N185"/>
  <sheetViews>
    <sheetView workbookViewId="0">
      <selection activeCell="AA4" sqref="AA4:AB76"/>
    </sheetView>
  </sheetViews>
  <sheetFormatPr defaultColWidth="8.85546875" defaultRowHeight="12.75"/>
  <cols>
    <col min="1" max="1" width="10.85546875" style="1" customWidth="1"/>
    <col min="2" max="16384" width="8.85546875" style="1"/>
  </cols>
  <sheetData>
    <row r="32" spans="1:14" ht="16.5" thickBot="1">
      <c r="A32" s="191" t="s">
        <v>896</v>
      </c>
      <c r="N32" s="192">
        <v>40375</v>
      </c>
    </row>
    <row r="33" spans="1:14" ht="13.5" thickTop="1">
      <c r="A33" s="88"/>
      <c r="B33" s="222" t="s">
        <v>1275</v>
      </c>
      <c r="C33" s="223"/>
      <c r="D33" s="223"/>
      <c r="E33" s="223"/>
      <c r="F33" s="222" t="s">
        <v>1420</v>
      </c>
      <c r="G33" s="223"/>
      <c r="H33" s="223"/>
      <c r="I33" s="223"/>
      <c r="J33" s="224"/>
      <c r="K33" s="222" t="s">
        <v>1416</v>
      </c>
      <c r="L33" s="223"/>
      <c r="M33" s="223"/>
      <c r="N33" s="225"/>
    </row>
    <row r="34" spans="1:14" ht="13.5" thickBot="1">
      <c r="A34" s="91" t="s">
        <v>1414</v>
      </c>
      <c r="B34" s="94" t="s">
        <v>1474</v>
      </c>
      <c r="C34" s="92" t="s">
        <v>1415</v>
      </c>
      <c r="D34" s="92" t="s">
        <v>99</v>
      </c>
      <c r="E34" s="92" t="s">
        <v>1475</v>
      </c>
      <c r="F34" s="94" t="s">
        <v>1474</v>
      </c>
      <c r="G34" s="92" t="s">
        <v>1415</v>
      </c>
      <c r="H34" s="92" t="s">
        <v>99</v>
      </c>
      <c r="I34" s="92" t="s">
        <v>1475</v>
      </c>
      <c r="J34" s="95" t="s">
        <v>1232</v>
      </c>
      <c r="K34" s="92" t="s">
        <v>1474</v>
      </c>
      <c r="L34" s="92" t="s">
        <v>1415</v>
      </c>
      <c r="M34" s="92" t="s">
        <v>99</v>
      </c>
      <c r="N34" s="93" t="s">
        <v>1475</v>
      </c>
    </row>
    <row r="35" spans="1:14">
      <c r="A35" s="89">
        <v>40355</v>
      </c>
      <c r="B35" s="96">
        <v>3914.37</v>
      </c>
      <c r="C35" s="90">
        <v>489.29624999999999</v>
      </c>
      <c r="D35" s="90">
        <v>342.50737500000002</v>
      </c>
      <c r="E35" s="90">
        <v>65.239500000000007</v>
      </c>
      <c r="F35" s="96">
        <v>3017</v>
      </c>
      <c r="G35" s="90">
        <v>378</v>
      </c>
      <c r="H35" s="90">
        <v>259</v>
      </c>
      <c r="I35" s="90">
        <v>61</v>
      </c>
      <c r="J35" s="97">
        <v>180</v>
      </c>
      <c r="K35" s="90">
        <v>897.37</v>
      </c>
      <c r="L35" s="90">
        <v>111.29625</v>
      </c>
      <c r="M35" s="90">
        <v>83.507375000000025</v>
      </c>
      <c r="N35" s="99">
        <v>4.2395000000000067</v>
      </c>
    </row>
    <row r="36" spans="1:14">
      <c r="A36" s="89">
        <v>40356</v>
      </c>
      <c r="B36" s="96">
        <v>3914.37</v>
      </c>
      <c r="C36" s="90">
        <v>489.29624999999999</v>
      </c>
      <c r="D36" s="90">
        <v>342.50737500000002</v>
      </c>
      <c r="E36" s="90">
        <v>65.239500000000007</v>
      </c>
      <c r="F36" s="96">
        <v>3017</v>
      </c>
      <c r="G36" s="90">
        <v>378</v>
      </c>
      <c r="H36" s="90">
        <v>259</v>
      </c>
      <c r="I36" s="90">
        <v>61</v>
      </c>
      <c r="J36" s="97">
        <v>180</v>
      </c>
      <c r="K36" s="90">
        <v>897.37</v>
      </c>
      <c r="L36" s="90">
        <v>111.29625</v>
      </c>
      <c r="M36" s="90">
        <v>83.507375000000025</v>
      </c>
      <c r="N36" s="99">
        <v>4.2395000000000067</v>
      </c>
    </row>
    <row r="37" spans="1:14">
      <c r="A37" s="89">
        <v>40357</v>
      </c>
      <c r="B37" s="96">
        <v>3914.37</v>
      </c>
      <c r="C37" s="90">
        <v>489.29624999999999</v>
      </c>
      <c r="D37" s="90">
        <v>342.50737500000002</v>
      </c>
      <c r="E37" s="90">
        <v>65.239500000000007</v>
      </c>
      <c r="F37" s="96">
        <v>3326</v>
      </c>
      <c r="G37" s="90">
        <v>444</v>
      </c>
      <c r="H37" s="90">
        <v>268</v>
      </c>
      <c r="I37" s="90">
        <v>55</v>
      </c>
      <c r="J37" s="97">
        <v>180</v>
      </c>
      <c r="K37" s="90">
        <v>588.37</v>
      </c>
      <c r="L37" s="90">
        <v>45.296250000000001</v>
      </c>
      <c r="M37" s="90">
        <v>74.507375000000025</v>
      </c>
      <c r="N37" s="99">
        <v>10.239500000000007</v>
      </c>
    </row>
    <row r="38" spans="1:14">
      <c r="A38" s="89">
        <v>40358</v>
      </c>
      <c r="B38" s="96">
        <v>3914.37</v>
      </c>
      <c r="C38" s="90">
        <v>489.29624999999999</v>
      </c>
      <c r="D38" s="90">
        <v>342.50737500000002</v>
      </c>
      <c r="E38" s="90">
        <v>65.239500000000007</v>
      </c>
      <c r="F38" s="96">
        <v>3017</v>
      </c>
      <c r="G38" s="90">
        <v>378</v>
      </c>
      <c r="H38" s="90">
        <v>259</v>
      </c>
      <c r="I38" s="90">
        <v>61</v>
      </c>
      <c r="J38" s="97">
        <v>180</v>
      </c>
      <c r="K38" s="90">
        <v>897.37</v>
      </c>
      <c r="L38" s="90">
        <v>111.29625</v>
      </c>
      <c r="M38" s="90">
        <v>83.507375000000025</v>
      </c>
      <c r="N38" s="99">
        <v>4.2395000000000067</v>
      </c>
    </row>
    <row r="39" spans="1:14">
      <c r="A39" s="89">
        <v>40359</v>
      </c>
      <c r="B39" s="96">
        <v>3914.37</v>
      </c>
      <c r="C39" s="90">
        <v>489.29624999999999</v>
      </c>
      <c r="D39" s="90">
        <v>342.50737500000002</v>
      </c>
      <c r="E39" s="90">
        <v>65.239500000000007</v>
      </c>
      <c r="F39" s="96">
        <v>3017</v>
      </c>
      <c r="G39" s="90">
        <v>378</v>
      </c>
      <c r="H39" s="90">
        <v>259</v>
      </c>
      <c r="I39" s="90">
        <v>61</v>
      </c>
      <c r="J39" s="97">
        <v>180</v>
      </c>
      <c r="K39" s="90">
        <v>897.37</v>
      </c>
      <c r="L39" s="90">
        <v>111.29625</v>
      </c>
      <c r="M39" s="90">
        <v>83.507375000000025</v>
      </c>
      <c r="N39" s="99">
        <v>4.2395000000000067</v>
      </c>
    </row>
    <row r="40" spans="1:14">
      <c r="A40" s="89">
        <v>40360</v>
      </c>
      <c r="B40" s="96">
        <v>3914.37</v>
      </c>
      <c r="C40" s="90">
        <v>489.29624999999999</v>
      </c>
      <c r="D40" s="90">
        <v>342.50737500000002</v>
      </c>
      <c r="E40" s="90">
        <v>65.239500000000007</v>
      </c>
      <c r="F40" s="96">
        <v>3017</v>
      </c>
      <c r="G40" s="90">
        <v>378</v>
      </c>
      <c r="H40" s="90">
        <v>259</v>
      </c>
      <c r="I40" s="90">
        <v>61</v>
      </c>
      <c r="J40" s="97">
        <v>180</v>
      </c>
      <c r="K40" s="90">
        <v>897.37</v>
      </c>
      <c r="L40" s="90">
        <v>111.29625</v>
      </c>
      <c r="M40" s="90">
        <v>83.507375000000025</v>
      </c>
      <c r="N40" s="99">
        <v>4.2395000000000067</v>
      </c>
    </row>
    <row r="41" spans="1:14">
      <c r="A41" s="89">
        <v>40366</v>
      </c>
      <c r="B41" s="96">
        <v>3914.37</v>
      </c>
      <c r="C41" s="90">
        <v>489.29624999999999</v>
      </c>
      <c r="D41" s="90">
        <v>342.50737500000002</v>
      </c>
      <c r="E41" s="90">
        <v>65.239500000000007</v>
      </c>
      <c r="F41" s="96">
        <v>3017</v>
      </c>
      <c r="G41" s="90">
        <v>378</v>
      </c>
      <c r="H41" s="90">
        <v>259</v>
      </c>
      <c r="I41" s="90">
        <v>61</v>
      </c>
      <c r="J41" s="97">
        <v>180</v>
      </c>
      <c r="K41" s="90">
        <v>897.37</v>
      </c>
      <c r="L41" s="90">
        <v>111.29625</v>
      </c>
      <c r="M41" s="90">
        <v>83.507375000000025</v>
      </c>
      <c r="N41" s="99">
        <v>4.2395000000000067</v>
      </c>
    </row>
    <row r="42" spans="1:14">
      <c r="A42" s="89">
        <v>40367</v>
      </c>
      <c r="B42" s="96">
        <v>3914.37</v>
      </c>
      <c r="C42" s="90">
        <v>489.29624999999999</v>
      </c>
      <c r="D42" s="90">
        <v>342.50737500000002</v>
      </c>
      <c r="E42" s="90">
        <v>65.239500000000007</v>
      </c>
      <c r="F42" s="96">
        <v>3017</v>
      </c>
      <c r="G42" s="90">
        <v>378</v>
      </c>
      <c r="H42" s="90">
        <v>259</v>
      </c>
      <c r="I42" s="90">
        <v>61</v>
      </c>
      <c r="J42" s="97">
        <v>180</v>
      </c>
      <c r="K42" s="90">
        <v>897.37</v>
      </c>
      <c r="L42" s="90">
        <v>111.29625</v>
      </c>
      <c r="M42" s="90">
        <v>83.507375000000025</v>
      </c>
      <c r="N42" s="99">
        <v>4.2395000000000067</v>
      </c>
    </row>
    <row r="43" spans="1:14">
      <c r="A43" s="89">
        <v>40372</v>
      </c>
      <c r="B43" s="96">
        <v>3914.37</v>
      </c>
      <c r="C43" s="90">
        <v>489.29624999999999</v>
      </c>
      <c r="D43" s="90">
        <v>342.50737500000002</v>
      </c>
      <c r="E43" s="90">
        <v>65.239500000000007</v>
      </c>
      <c r="F43" s="96">
        <v>3326</v>
      </c>
      <c r="G43" s="90">
        <v>444</v>
      </c>
      <c r="H43" s="90">
        <v>268</v>
      </c>
      <c r="I43" s="90">
        <v>55</v>
      </c>
      <c r="J43" s="97">
        <v>180</v>
      </c>
      <c r="K43" s="90">
        <v>588.37</v>
      </c>
      <c r="L43" s="90">
        <v>45.296250000000001</v>
      </c>
      <c r="M43" s="90">
        <v>74.507375000000025</v>
      </c>
      <c r="N43" s="99">
        <v>10.239500000000007</v>
      </c>
    </row>
    <row r="44" spans="1:14">
      <c r="A44" s="89">
        <v>40373</v>
      </c>
      <c r="B44" s="96">
        <v>3914.37</v>
      </c>
      <c r="C44" s="90">
        <v>489.29624999999999</v>
      </c>
      <c r="D44" s="90">
        <v>342.50737500000002</v>
      </c>
      <c r="E44" s="90">
        <v>65.239500000000007</v>
      </c>
      <c r="F44" s="96">
        <v>3326</v>
      </c>
      <c r="G44" s="90">
        <v>444</v>
      </c>
      <c r="H44" s="90">
        <v>268</v>
      </c>
      <c r="I44" s="90">
        <v>55</v>
      </c>
      <c r="J44" s="97">
        <v>180</v>
      </c>
      <c r="K44" s="90">
        <v>588.37</v>
      </c>
      <c r="L44" s="90">
        <v>45.296250000000001</v>
      </c>
      <c r="M44" s="90">
        <v>74.507375000000025</v>
      </c>
      <c r="N44" s="99">
        <v>10.239500000000007</v>
      </c>
    </row>
    <row r="45" spans="1:14">
      <c r="A45" s="89"/>
      <c r="B45" s="96"/>
      <c r="C45" s="90"/>
      <c r="D45" s="90"/>
      <c r="E45" s="90"/>
      <c r="F45" s="96"/>
      <c r="G45" s="90"/>
      <c r="H45" s="90"/>
      <c r="I45" s="90"/>
      <c r="J45" s="97"/>
      <c r="K45" s="90"/>
      <c r="L45" s="90"/>
      <c r="M45" s="90"/>
      <c r="N45" s="99"/>
    </row>
    <row r="46" spans="1:14">
      <c r="A46" s="89"/>
      <c r="B46" s="96"/>
      <c r="C46" s="90"/>
      <c r="D46" s="90"/>
      <c r="E46" s="90"/>
      <c r="F46" s="96"/>
      <c r="G46" s="90"/>
      <c r="H46" s="90"/>
      <c r="I46" s="90"/>
      <c r="J46" s="97"/>
      <c r="K46" s="90"/>
      <c r="L46" s="90"/>
      <c r="M46" s="90"/>
      <c r="N46" s="99"/>
    </row>
    <row r="47" spans="1:14">
      <c r="A47" s="89"/>
      <c r="B47" s="96"/>
      <c r="C47" s="90"/>
      <c r="D47" s="90"/>
      <c r="E47" s="90"/>
      <c r="F47" s="96"/>
      <c r="G47" s="90"/>
      <c r="H47" s="90"/>
      <c r="I47" s="90"/>
      <c r="J47" s="97"/>
      <c r="K47" s="90"/>
      <c r="L47" s="90"/>
      <c r="M47" s="90"/>
      <c r="N47" s="99"/>
    </row>
    <row r="48" spans="1:14">
      <c r="A48" s="89"/>
      <c r="B48" s="96"/>
      <c r="C48" s="90"/>
      <c r="D48" s="90"/>
      <c r="E48" s="90"/>
      <c r="F48" s="96"/>
      <c r="G48" s="90"/>
      <c r="H48" s="90"/>
      <c r="I48" s="90"/>
      <c r="J48" s="97"/>
      <c r="K48" s="90"/>
      <c r="L48" s="90"/>
      <c r="M48" s="90"/>
      <c r="N48" s="99"/>
    </row>
    <row r="49" spans="1:14">
      <c r="A49" s="89"/>
      <c r="B49" s="96"/>
      <c r="C49" s="90"/>
      <c r="D49" s="90"/>
      <c r="E49" s="90"/>
      <c r="F49" s="96"/>
      <c r="G49" s="90"/>
      <c r="H49" s="90"/>
      <c r="I49" s="90"/>
      <c r="J49" s="97"/>
      <c r="K49" s="90"/>
      <c r="L49" s="90"/>
      <c r="M49" s="90"/>
      <c r="N49" s="99"/>
    </row>
    <row r="50" spans="1:14">
      <c r="A50" s="89"/>
      <c r="B50" s="96"/>
      <c r="C50" s="90"/>
      <c r="D50" s="90"/>
      <c r="E50" s="90"/>
      <c r="F50" s="96"/>
      <c r="G50" s="90"/>
      <c r="H50" s="90"/>
      <c r="I50" s="90"/>
      <c r="J50" s="97"/>
      <c r="K50" s="90"/>
      <c r="L50" s="90"/>
      <c r="M50" s="90"/>
      <c r="N50" s="99"/>
    </row>
    <row r="51" spans="1:14">
      <c r="A51" s="89"/>
      <c r="B51" s="96"/>
      <c r="C51" s="90"/>
      <c r="D51" s="90"/>
      <c r="E51" s="90"/>
      <c r="F51" s="96"/>
      <c r="G51" s="90"/>
      <c r="H51" s="90"/>
      <c r="I51" s="90"/>
      <c r="J51" s="97"/>
      <c r="K51" s="90"/>
      <c r="L51" s="90"/>
      <c r="M51" s="90"/>
      <c r="N51" s="99"/>
    </row>
    <row r="52" spans="1:14">
      <c r="A52" s="89"/>
      <c r="B52" s="96"/>
      <c r="C52" s="90"/>
      <c r="D52" s="90"/>
      <c r="E52" s="90"/>
      <c r="F52" s="96"/>
      <c r="G52" s="90"/>
      <c r="H52" s="90"/>
      <c r="I52" s="90"/>
      <c r="J52" s="97"/>
      <c r="K52" s="90"/>
      <c r="L52" s="90"/>
      <c r="M52" s="90"/>
      <c r="N52" s="99"/>
    </row>
    <row r="53" spans="1:14">
      <c r="A53" s="89"/>
      <c r="B53" s="96"/>
      <c r="C53" s="90"/>
      <c r="D53" s="90"/>
      <c r="E53" s="90"/>
      <c r="F53" s="96"/>
      <c r="G53" s="90"/>
      <c r="H53" s="90"/>
      <c r="I53" s="90"/>
      <c r="J53" s="97"/>
      <c r="K53" s="90"/>
      <c r="L53" s="90"/>
      <c r="M53" s="90"/>
      <c r="N53" s="99"/>
    </row>
    <row r="54" spans="1:14">
      <c r="A54" s="89"/>
      <c r="B54" s="96"/>
      <c r="C54" s="90"/>
      <c r="D54" s="90"/>
      <c r="E54" s="90"/>
      <c r="F54" s="96"/>
      <c r="G54" s="90"/>
      <c r="H54" s="90"/>
      <c r="I54" s="90"/>
      <c r="J54" s="97"/>
      <c r="K54" s="90"/>
      <c r="L54" s="90"/>
      <c r="M54" s="90"/>
      <c r="N54" s="99"/>
    </row>
    <row r="55" spans="1:14">
      <c r="A55" s="89"/>
      <c r="B55" s="96"/>
      <c r="C55" s="90"/>
      <c r="D55" s="90"/>
      <c r="E55" s="90"/>
      <c r="F55" s="96"/>
      <c r="G55" s="90"/>
      <c r="H55" s="90"/>
      <c r="I55" s="90"/>
      <c r="J55" s="97"/>
      <c r="K55" s="90"/>
      <c r="L55" s="90"/>
      <c r="M55" s="90"/>
      <c r="N55" s="99"/>
    </row>
    <row r="56" spans="1:14">
      <c r="A56" s="89"/>
      <c r="B56" s="96"/>
      <c r="C56" s="90"/>
      <c r="D56" s="90"/>
      <c r="E56" s="90"/>
      <c r="F56" s="96"/>
      <c r="G56" s="90"/>
      <c r="H56" s="90"/>
      <c r="I56" s="90"/>
      <c r="J56" s="97"/>
      <c r="K56" s="90"/>
      <c r="L56" s="90"/>
      <c r="M56" s="90"/>
      <c r="N56" s="99"/>
    </row>
    <row r="57" spans="1:14">
      <c r="A57" s="89"/>
      <c r="B57" s="96"/>
      <c r="C57" s="90"/>
      <c r="D57" s="90"/>
      <c r="E57" s="90"/>
      <c r="F57" s="96"/>
      <c r="G57" s="90"/>
      <c r="H57" s="90"/>
      <c r="I57" s="90"/>
      <c r="J57" s="97"/>
      <c r="K57" s="90"/>
      <c r="L57" s="90"/>
      <c r="M57" s="90"/>
      <c r="N57" s="99"/>
    </row>
    <row r="58" spans="1:14">
      <c r="A58" s="89"/>
      <c r="B58" s="96"/>
      <c r="C58" s="90"/>
      <c r="D58" s="90"/>
      <c r="E58" s="90"/>
      <c r="F58" s="96"/>
      <c r="G58" s="90"/>
      <c r="H58" s="90"/>
      <c r="I58" s="90"/>
      <c r="J58" s="97"/>
      <c r="K58" s="90"/>
      <c r="L58" s="90"/>
      <c r="M58" s="90"/>
      <c r="N58" s="99"/>
    </row>
    <row r="59" spans="1:14">
      <c r="A59" s="89"/>
      <c r="B59" s="96"/>
      <c r="C59" s="90"/>
      <c r="D59" s="90"/>
      <c r="E59" s="90"/>
      <c r="F59" s="96"/>
      <c r="G59" s="90"/>
      <c r="H59" s="90"/>
      <c r="I59" s="90"/>
      <c r="J59" s="97"/>
      <c r="K59" s="90"/>
      <c r="L59" s="90"/>
      <c r="M59" s="90"/>
      <c r="N59" s="99"/>
    </row>
    <row r="60" spans="1:14">
      <c r="A60" s="89"/>
      <c r="B60" s="96"/>
      <c r="C60" s="90"/>
      <c r="D60" s="90"/>
      <c r="E60" s="90"/>
      <c r="F60" s="96"/>
      <c r="G60" s="90"/>
      <c r="H60" s="90"/>
      <c r="I60" s="90"/>
      <c r="J60" s="97"/>
      <c r="K60" s="90"/>
      <c r="L60" s="90"/>
      <c r="M60" s="90"/>
      <c r="N60" s="99"/>
    </row>
    <row r="61" spans="1:14">
      <c r="A61" s="89"/>
      <c r="B61" s="96"/>
      <c r="C61" s="90"/>
      <c r="D61" s="90"/>
      <c r="E61" s="90"/>
      <c r="F61" s="96"/>
      <c r="G61" s="90"/>
      <c r="H61" s="90"/>
      <c r="I61" s="90"/>
      <c r="J61" s="97"/>
      <c r="K61" s="90"/>
      <c r="L61" s="90"/>
      <c r="M61" s="90"/>
      <c r="N61" s="99"/>
    </row>
    <row r="62" spans="1:14">
      <c r="A62" s="89"/>
      <c r="B62" s="96"/>
      <c r="C62" s="90"/>
      <c r="D62" s="90"/>
      <c r="E62" s="90"/>
      <c r="F62" s="96"/>
      <c r="G62" s="90"/>
      <c r="H62" s="90"/>
      <c r="I62" s="90"/>
      <c r="J62" s="97"/>
      <c r="K62" s="90"/>
      <c r="L62" s="90"/>
      <c r="M62" s="90"/>
      <c r="N62" s="99"/>
    </row>
    <row r="63" spans="1:14">
      <c r="A63" s="89"/>
      <c r="B63" s="96"/>
      <c r="C63" s="90"/>
      <c r="D63" s="90"/>
      <c r="E63" s="90"/>
      <c r="F63" s="96"/>
      <c r="G63" s="90"/>
      <c r="H63" s="90"/>
      <c r="I63" s="90"/>
      <c r="J63" s="97"/>
      <c r="K63" s="90"/>
      <c r="L63" s="90"/>
      <c r="M63" s="90"/>
      <c r="N63" s="99"/>
    </row>
    <row r="64" spans="1:14">
      <c r="A64" s="89"/>
      <c r="B64" s="96"/>
      <c r="C64" s="90"/>
      <c r="D64" s="90"/>
      <c r="E64" s="90"/>
      <c r="F64" s="96"/>
      <c r="G64" s="90"/>
      <c r="H64" s="90"/>
      <c r="I64" s="90"/>
      <c r="J64" s="97"/>
      <c r="K64" s="90"/>
      <c r="L64" s="90"/>
      <c r="M64" s="90"/>
      <c r="N64" s="99"/>
    </row>
    <row r="65" spans="1:14">
      <c r="A65" s="89"/>
      <c r="B65" s="96"/>
      <c r="C65" s="90"/>
      <c r="D65" s="90"/>
      <c r="E65" s="90"/>
      <c r="F65" s="96"/>
      <c r="G65" s="90"/>
      <c r="H65" s="90"/>
      <c r="I65" s="90"/>
      <c r="J65" s="97"/>
      <c r="K65" s="90"/>
      <c r="L65" s="90"/>
      <c r="M65" s="90"/>
      <c r="N65" s="99"/>
    </row>
    <row r="66" spans="1:14">
      <c r="A66" s="89"/>
      <c r="B66" s="96"/>
      <c r="C66" s="90"/>
      <c r="D66" s="90"/>
      <c r="E66" s="90"/>
      <c r="F66" s="96"/>
      <c r="G66" s="90"/>
      <c r="H66" s="90"/>
      <c r="I66" s="90"/>
      <c r="J66" s="97"/>
      <c r="K66" s="90"/>
      <c r="L66" s="90"/>
      <c r="M66" s="90"/>
      <c r="N66" s="99"/>
    </row>
    <row r="67" spans="1:14">
      <c r="A67" s="89"/>
      <c r="B67" s="96"/>
      <c r="C67" s="90"/>
      <c r="D67" s="90"/>
      <c r="E67" s="90"/>
      <c r="F67" s="96"/>
      <c r="G67" s="90"/>
      <c r="H67" s="90"/>
      <c r="I67" s="90"/>
      <c r="J67" s="97"/>
      <c r="K67" s="90"/>
      <c r="L67" s="90"/>
      <c r="M67" s="90"/>
      <c r="N67" s="99"/>
    </row>
    <row r="68" spans="1:14">
      <c r="A68" s="89"/>
      <c r="B68" s="96"/>
      <c r="C68" s="90"/>
      <c r="D68" s="90"/>
      <c r="E68" s="90"/>
      <c r="F68" s="96"/>
      <c r="G68" s="90"/>
      <c r="H68" s="90"/>
      <c r="I68" s="90"/>
      <c r="J68" s="97"/>
      <c r="K68" s="90"/>
      <c r="L68" s="90"/>
      <c r="M68" s="90"/>
      <c r="N68" s="99"/>
    </row>
    <row r="69" spans="1:14">
      <c r="A69" s="89"/>
      <c r="B69" s="96"/>
      <c r="C69" s="90"/>
      <c r="D69" s="90"/>
      <c r="E69" s="90"/>
      <c r="F69" s="96"/>
      <c r="G69" s="90"/>
      <c r="H69" s="90"/>
      <c r="I69" s="90"/>
      <c r="J69" s="97"/>
      <c r="K69" s="90"/>
      <c r="L69" s="90"/>
      <c r="M69" s="90"/>
      <c r="N69" s="99"/>
    </row>
    <row r="70" spans="1:14">
      <c r="A70" s="89"/>
      <c r="B70" s="96"/>
      <c r="C70" s="90"/>
      <c r="D70" s="90"/>
      <c r="E70" s="90"/>
      <c r="F70" s="96"/>
      <c r="G70" s="90"/>
      <c r="H70" s="90"/>
      <c r="I70" s="90"/>
      <c r="J70" s="97"/>
      <c r="K70" s="90"/>
      <c r="L70" s="90"/>
      <c r="M70" s="90"/>
      <c r="N70" s="99"/>
    </row>
    <row r="71" spans="1:14">
      <c r="A71" s="89"/>
      <c r="B71" s="96"/>
      <c r="C71" s="90"/>
      <c r="D71" s="90"/>
      <c r="E71" s="90"/>
      <c r="F71" s="96"/>
      <c r="G71" s="90"/>
      <c r="H71" s="90"/>
      <c r="I71" s="90"/>
      <c r="J71" s="97"/>
      <c r="K71" s="90"/>
      <c r="L71" s="90"/>
      <c r="M71" s="90"/>
      <c r="N71" s="99"/>
    </row>
    <row r="72" spans="1:14">
      <c r="A72" s="89"/>
      <c r="B72" s="96"/>
      <c r="C72" s="90"/>
      <c r="D72" s="90"/>
      <c r="E72" s="90"/>
      <c r="F72" s="96"/>
      <c r="G72" s="90"/>
      <c r="H72" s="90"/>
      <c r="I72" s="90"/>
      <c r="J72" s="97"/>
      <c r="K72" s="90"/>
      <c r="L72" s="90"/>
      <c r="M72" s="90"/>
      <c r="N72" s="99"/>
    </row>
    <row r="73" spans="1:14">
      <c r="A73" s="89"/>
      <c r="B73" s="96"/>
      <c r="C73" s="90"/>
      <c r="D73" s="90"/>
      <c r="E73" s="90"/>
      <c r="F73" s="96"/>
      <c r="G73" s="90"/>
      <c r="H73" s="90"/>
      <c r="I73" s="90"/>
      <c r="J73" s="97"/>
      <c r="K73" s="90"/>
      <c r="L73" s="90"/>
      <c r="M73" s="90"/>
      <c r="N73" s="99"/>
    </row>
    <row r="74" spans="1:14">
      <c r="A74" s="89"/>
      <c r="B74" s="96"/>
      <c r="C74" s="90"/>
      <c r="D74" s="90"/>
      <c r="E74" s="90"/>
      <c r="F74" s="96"/>
      <c r="G74" s="90"/>
      <c r="H74" s="90"/>
      <c r="I74" s="90"/>
      <c r="J74" s="97"/>
      <c r="K74" s="90"/>
      <c r="L74" s="90"/>
      <c r="M74" s="90"/>
      <c r="N74" s="99"/>
    </row>
    <row r="75" spans="1:14">
      <c r="A75" s="89"/>
      <c r="B75" s="96"/>
      <c r="C75" s="90"/>
      <c r="D75" s="90"/>
      <c r="E75" s="90"/>
      <c r="F75" s="96"/>
      <c r="G75" s="90"/>
      <c r="H75" s="90"/>
      <c r="I75" s="90"/>
      <c r="J75" s="97"/>
      <c r="K75" s="90"/>
      <c r="L75" s="90"/>
      <c r="M75" s="90"/>
      <c r="N75" s="99"/>
    </row>
    <row r="76" spans="1:14">
      <c r="A76" s="89"/>
      <c r="B76" s="96"/>
      <c r="C76" s="90"/>
      <c r="D76" s="90"/>
      <c r="E76" s="90"/>
      <c r="F76" s="96"/>
      <c r="G76" s="90"/>
      <c r="H76" s="90"/>
      <c r="I76" s="90"/>
      <c r="J76" s="97"/>
      <c r="K76" s="90"/>
      <c r="L76" s="90"/>
      <c r="M76" s="90"/>
      <c r="N76" s="99"/>
    </row>
    <row r="77" spans="1:14">
      <c r="A77" s="89"/>
      <c r="B77" s="96"/>
      <c r="C77" s="90"/>
      <c r="D77" s="90"/>
      <c r="E77" s="90"/>
      <c r="F77" s="96"/>
      <c r="G77" s="90"/>
      <c r="H77" s="90"/>
      <c r="I77" s="90"/>
      <c r="J77" s="97"/>
      <c r="K77" s="90"/>
      <c r="L77" s="90"/>
      <c r="M77" s="90"/>
      <c r="N77" s="99"/>
    </row>
    <row r="78" spans="1:14">
      <c r="A78" s="89"/>
      <c r="B78" s="96"/>
      <c r="C78" s="90"/>
      <c r="D78" s="90"/>
      <c r="E78" s="90"/>
      <c r="F78" s="96"/>
      <c r="G78" s="90"/>
      <c r="H78" s="90"/>
      <c r="I78" s="90"/>
      <c r="J78" s="97"/>
      <c r="K78" s="90"/>
      <c r="L78" s="90"/>
      <c r="M78" s="90"/>
      <c r="N78" s="99"/>
    </row>
    <row r="79" spans="1:14">
      <c r="A79" s="89"/>
      <c r="B79" s="96"/>
      <c r="C79" s="90"/>
      <c r="D79" s="90"/>
      <c r="E79" s="90"/>
      <c r="F79" s="96"/>
      <c r="G79" s="90"/>
      <c r="H79" s="90"/>
      <c r="I79" s="90"/>
      <c r="J79" s="97"/>
      <c r="K79" s="90"/>
      <c r="L79" s="90"/>
      <c r="M79" s="90"/>
      <c r="N79" s="99"/>
    </row>
    <row r="80" spans="1:14">
      <c r="A80" s="89"/>
      <c r="B80" s="96"/>
      <c r="C80" s="90"/>
      <c r="D80" s="90"/>
      <c r="E80" s="90"/>
      <c r="F80" s="96"/>
      <c r="G80" s="90"/>
      <c r="H80" s="90"/>
      <c r="I80" s="90"/>
      <c r="J80" s="97"/>
      <c r="K80" s="90"/>
      <c r="L80" s="90"/>
      <c r="M80" s="90"/>
      <c r="N80" s="99"/>
    </row>
    <row r="81" spans="1:14">
      <c r="A81" s="89"/>
      <c r="B81" s="96"/>
      <c r="C81" s="90"/>
      <c r="D81" s="90"/>
      <c r="E81" s="90"/>
      <c r="F81" s="96"/>
      <c r="G81" s="90"/>
      <c r="H81" s="90"/>
      <c r="I81" s="90"/>
      <c r="J81" s="97"/>
      <c r="K81" s="90"/>
      <c r="L81" s="90"/>
      <c r="M81" s="90"/>
      <c r="N81" s="99"/>
    </row>
    <row r="82" spans="1:14">
      <c r="A82" s="89"/>
      <c r="B82" s="96"/>
      <c r="C82" s="90"/>
      <c r="D82" s="90"/>
      <c r="E82" s="90"/>
      <c r="F82" s="96"/>
      <c r="G82" s="90"/>
      <c r="H82" s="90"/>
      <c r="I82" s="90"/>
      <c r="J82" s="97"/>
      <c r="K82" s="90"/>
      <c r="L82" s="90"/>
      <c r="M82" s="90"/>
      <c r="N82" s="99"/>
    </row>
    <row r="83" spans="1:14">
      <c r="A83" s="89"/>
      <c r="B83" s="96"/>
      <c r="C83" s="90"/>
      <c r="D83" s="90"/>
      <c r="E83" s="90"/>
      <c r="F83" s="96"/>
      <c r="G83" s="90"/>
      <c r="H83" s="90"/>
      <c r="I83" s="90"/>
      <c r="J83" s="97"/>
      <c r="K83" s="90"/>
      <c r="L83" s="90"/>
      <c r="M83" s="90"/>
      <c r="N83" s="99"/>
    </row>
    <row r="84" spans="1:14">
      <c r="A84" s="89"/>
      <c r="B84" s="96"/>
      <c r="C84" s="90"/>
      <c r="D84" s="90"/>
      <c r="E84" s="90"/>
      <c r="F84" s="96"/>
      <c r="G84" s="90"/>
      <c r="H84" s="90"/>
      <c r="I84" s="90"/>
      <c r="J84" s="97"/>
      <c r="K84" s="90"/>
      <c r="L84" s="90"/>
      <c r="M84" s="90"/>
      <c r="N84" s="99"/>
    </row>
    <row r="85" spans="1:14">
      <c r="A85" s="89"/>
      <c r="B85" s="96"/>
      <c r="C85" s="90"/>
      <c r="D85" s="90"/>
      <c r="E85" s="90"/>
      <c r="F85" s="96"/>
      <c r="G85" s="90"/>
      <c r="H85" s="90"/>
      <c r="I85" s="90"/>
      <c r="J85" s="97"/>
      <c r="K85" s="90"/>
      <c r="L85" s="90"/>
      <c r="M85" s="90"/>
      <c r="N85" s="99"/>
    </row>
    <row r="86" spans="1:14">
      <c r="A86" s="89"/>
      <c r="B86" s="96"/>
      <c r="C86" s="90"/>
      <c r="D86" s="90"/>
      <c r="E86" s="90"/>
      <c r="F86" s="96"/>
      <c r="G86" s="90"/>
      <c r="H86" s="90"/>
      <c r="I86" s="90"/>
      <c r="J86" s="97"/>
      <c r="K86" s="90"/>
      <c r="L86" s="90"/>
      <c r="M86" s="90"/>
      <c r="N86" s="99"/>
    </row>
    <row r="87" spans="1:14">
      <c r="A87" s="89"/>
      <c r="B87" s="96"/>
      <c r="C87" s="90"/>
      <c r="D87" s="90"/>
      <c r="E87" s="90"/>
      <c r="F87" s="96"/>
      <c r="G87" s="90"/>
      <c r="H87" s="90"/>
      <c r="I87" s="90"/>
      <c r="J87" s="97"/>
      <c r="K87" s="90"/>
      <c r="L87" s="90"/>
      <c r="M87" s="90"/>
      <c r="N87" s="99"/>
    </row>
    <row r="88" spans="1:14">
      <c r="A88" s="89"/>
      <c r="B88" s="96"/>
      <c r="C88" s="90"/>
      <c r="D88" s="90"/>
      <c r="E88" s="90"/>
      <c r="F88" s="96"/>
      <c r="G88" s="90"/>
      <c r="H88" s="90"/>
      <c r="I88" s="90"/>
      <c r="J88" s="97"/>
      <c r="K88" s="90"/>
      <c r="L88" s="90"/>
      <c r="M88" s="90"/>
      <c r="N88" s="99"/>
    </row>
    <row r="89" spans="1:14">
      <c r="A89" s="89"/>
      <c r="B89" s="96"/>
      <c r="C89" s="90"/>
      <c r="D89" s="90"/>
      <c r="E89" s="90"/>
      <c r="F89" s="96"/>
      <c r="G89" s="90"/>
      <c r="H89" s="90"/>
      <c r="I89" s="90"/>
      <c r="J89" s="97"/>
      <c r="K89" s="90"/>
      <c r="L89" s="90"/>
      <c r="M89" s="90"/>
      <c r="N89" s="99"/>
    </row>
    <row r="90" spans="1:14">
      <c r="A90" s="89"/>
      <c r="B90" s="96"/>
      <c r="C90" s="90"/>
      <c r="D90" s="90"/>
      <c r="E90" s="90"/>
      <c r="F90" s="96"/>
      <c r="G90" s="90"/>
      <c r="H90" s="90"/>
      <c r="I90" s="90"/>
      <c r="J90" s="97"/>
      <c r="K90" s="90"/>
      <c r="L90" s="90"/>
      <c r="M90" s="90"/>
      <c r="N90" s="99"/>
    </row>
    <row r="91" spans="1:14">
      <c r="A91" s="89"/>
      <c r="B91" s="96"/>
      <c r="C91" s="90"/>
      <c r="D91" s="90"/>
      <c r="E91" s="90"/>
      <c r="F91" s="96"/>
      <c r="G91" s="90"/>
      <c r="H91" s="90"/>
      <c r="I91" s="90"/>
      <c r="J91" s="97"/>
      <c r="K91" s="90"/>
      <c r="L91" s="90"/>
      <c r="M91" s="90"/>
      <c r="N91" s="99"/>
    </row>
    <row r="92" spans="1:14">
      <c r="A92" s="89"/>
      <c r="B92" s="96"/>
      <c r="C92" s="90"/>
      <c r="D92" s="90"/>
      <c r="E92" s="90"/>
      <c r="F92" s="96"/>
      <c r="G92" s="90"/>
      <c r="H92" s="90"/>
      <c r="I92" s="90"/>
      <c r="J92" s="97"/>
      <c r="K92" s="90"/>
      <c r="L92" s="90"/>
      <c r="M92" s="90"/>
      <c r="N92" s="99"/>
    </row>
    <row r="93" spans="1:14">
      <c r="A93" s="89"/>
      <c r="B93" s="96"/>
      <c r="C93" s="90"/>
      <c r="D93" s="90"/>
      <c r="E93" s="90"/>
      <c r="F93" s="96"/>
      <c r="G93" s="90"/>
      <c r="H93" s="90"/>
      <c r="I93" s="90"/>
      <c r="J93" s="97"/>
      <c r="K93" s="90"/>
      <c r="L93" s="90"/>
      <c r="M93" s="90"/>
      <c r="N93" s="99"/>
    </row>
    <row r="94" spans="1:14">
      <c r="A94" s="89"/>
      <c r="B94" s="96"/>
      <c r="C94" s="90"/>
      <c r="D94" s="90"/>
      <c r="E94" s="90"/>
      <c r="F94" s="96"/>
      <c r="G94" s="90"/>
      <c r="H94" s="90"/>
      <c r="I94" s="90"/>
      <c r="J94" s="97"/>
      <c r="K94" s="90"/>
      <c r="L94" s="90"/>
      <c r="M94" s="90"/>
      <c r="N94" s="99"/>
    </row>
    <row r="95" spans="1:14">
      <c r="A95" s="89"/>
      <c r="B95" s="96"/>
      <c r="C95" s="90"/>
      <c r="D95" s="90"/>
      <c r="E95" s="90"/>
      <c r="F95" s="96"/>
      <c r="G95" s="90"/>
      <c r="H95" s="90"/>
      <c r="I95" s="90"/>
      <c r="J95" s="97"/>
      <c r="K95" s="90"/>
      <c r="L95" s="90"/>
      <c r="M95" s="90"/>
      <c r="N95" s="99"/>
    </row>
    <row r="96" spans="1:14">
      <c r="A96" s="89"/>
      <c r="B96" s="96"/>
      <c r="C96" s="90"/>
      <c r="D96" s="90"/>
      <c r="E96" s="90"/>
      <c r="F96" s="96"/>
      <c r="G96" s="90"/>
      <c r="H96" s="90"/>
      <c r="I96" s="90"/>
      <c r="J96" s="97"/>
      <c r="K96" s="90"/>
      <c r="L96" s="90"/>
      <c r="M96" s="90"/>
      <c r="N96" s="99"/>
    </row>
    <row r="97" spans="1:14">
      <c r="A97" s="89"/>
      <c r="B97" s="96"/>
      <c r="C97" s="90"/>
      <c r="D97" s="90"/>
      <c r="E97" s="90"/>
      <c r="F97" s="96"/>
      <c r="G97" s="90"/>
      <c r="H97" s="90"/>
      <c r="I97" s="90"/>
      <c r="J97" s="97"/>
      <c r="K97" s="90"/>
      <c r="L97" s="90"/>
      <c r="M97" s="90"/>
      <c r="N97" s="99"/>
    </row>
    <row r="98" spans="1:14">
      <c r="A98" s="89"/>
      <c r="B98" s="96"/>
      <c r="C98" s="90"/>
      <c r="D98" s="90"/>
      <c r="E98" s="90"/>
      <c r="F98" s="96"/>
      <c r="G98" s="90"/>
      <c r="H98" s="90"/>
      <c r="I98" s="90"/>
      <c r="J98" s="97"/>
      <c r="K98" s="90"/>
      <c r="L98" s="90"/>
      <c r="M98" s="90"/>
      <c r="N98" s="99"/>
    </row>
    <row r="99" spans="1:14">
      <c r="A99" s="89"/>
      <c r="B99" s="96"/>
      <c r="C99" s="90"/>
      <c r="D99" s="90"/>
      <c r="E99" s="90"/>
      <c r="F99" s="96"/>
      <c r="G99" s="90"/>
      <c r="H99" s="90"/>
      <c r="I99" s="90"/>
      <c r="J99" s="97"/>
      <c r="K99" s="90"/>
      <c r="L99" s="90"/>
      <c r="M99" s="90"/>
      <c r="N99" s="99"/>
    </row>
    <row r="100" spans="1:14">
      <c r="A100" s="89"/>
      <c r="B100" s="96"/>
      <c r="C100" s="90"/>
      <c r="D100" s="90"/>
      <c r="E100" s="90"/>
      <c r="F100" s="96"/>
      <c r="G100" s="90"/>
      <c r="H100" s="90"/>
      <c r="I100" s="90"/>
      <c r="J100" s="97"/>
      <c r="K100" s="90"/>
      <c r="L100" s="90"/>
      <c r="M100" s="90"/>
      <c r="N100" s="99"/>
    </row>
    <row r="101" spans="1:14">
      <c r="A101" s="89"/>
      <c r="B101" s="96"/>
      <c r="C101" s="90"/>
      <c r="D101" s="90"/>
      <c r="E101" s="90"/>
      <c r="F101" s="96"/>
      <c r="G101" s="90"/>
      <c r="H101" s="90"/>
      <c r="I101" s="90"/>
      <c r="J101" s="97"/>
      <c r="K101" s="90"/>
      <c r="L101" s="90"/>
      <c r="M101" s="90"/>
      <c r="N101" s="99"/>
    </row>
    <row r="102" spans="1:14">
      <c r="A102" s="89"/>
      <c r="B102" s="96"/>
      <c r="C102" s="90"/>
      <c r="D102" s="90"/>
      <c r="E102" s="90"/>
      <c r="F102" s="96"/>
      <c r="G102" s="90"/>
      <c r="H102" s="90"/>
      <c r="I102" s="90"/>
      <c r="J102" s="97"/>
      <c r="K102" s="90"/>
      <c r="L102" s="90"/>
      <c r="M102" s="90"/>
      <c r="N102" s="99"/>
    </row>
    <row r="103" spans="1:14">
      <c r="A103" s="89"/>
      <c r="B103" s="96"/>
      <c r="C103" s="90"/>
      <c r="D103" s="90"/>
      <c r="E103" s="90"/>
      <c r="F103" s="96"/>
      <c r="G103" s="90"/>
      <c r="H103" s="90"/>
      <c r="I103" s="90"/>
      <c r="J103" s="97"/>
      <c r="K103" s="90"/>
      <c r="L103" s="90"/>
      <c r="M103" s="90"/>
      <c r="N103" s="99"/>
    </row>
    <row r="104" spans="1:14">
      <c r="A104" s="89"/>
      <c r="B104" s="96"/>
      <c r="C104" s="90"/>
      <c r="D104" s="90"/>
      <c r="E104" s="90"/>
      <c r="F104" s="96"/>
      <c r="G104" s="90"/>
      <c r="H104" s="90"/>
      <c r="I104" s="90"/>
      <c r="J104" s="97"/>
      <c r="K104" s="90"/>
      <c r="L104" s="90"/>
      <c r="M104" s="90"/>
      <c r="N104" s="99"/>
    </row>
    <row r="105" spans="1:14">
      <c r="A105" s="89"/>
      <c r="B105" s="96"/>
      <c r="C105" s="90"/>
      <c r="D105" s="90"/>
      <c r="E105" s="90"/>
      <c r="F105" s="96"/>
      <c r="G105" s="90"/>
      <c r="H105" s="90"/>
      <c r="I105" s="90"/>
      <c r="J105" s="97"/>
      <c r="K105" s="90"/>
      <c r="L105" s="90"/>
      <c r="M105" s="90"/>
      <c r="N105" s="99"/>
    </row>
    <row r="106" spans="1:14">
      <c r="A106" s="89"/>
      <c r="B106" s="96"/>
      <c r="C106" s="90"/>
      <c r="D106" s="90"/>
      <c r="E106" s="90"/>
      <c r="F106" s="96"/>
      <c r="G106" s="90"/>
      <c r="H106" s="90"/>
      <c r="I106" s="90"/>
      <c r="J106" s="97"/>
      <c r="K106" s="90"/>
      <c r="L106" s="90"/>
      <c r="M106" s="90"/>
      <c r="N106" s="99"/>
    </row>
    <row r="107" spans="1:14">
      <c r="A107" s="89"/>
      <c r="B107" s="96"/>
      <c r="C107" s="90"/>
      <c r="D107" s="90"/>
      <c r="E107" s="90"/>
      <c r="F107" s="96"/>
      <c r="G107" s="90"/>
      <c r="H107" s="90"/>
      <c r="I107" s="90"/>
      <c r="J107" s="97"/>
      <c r="K107" s="90"/>
      <c r="L107" s="90"/>
      <c r="M107" s="90"/>
      <c r="N107" s="99"/>
    </row>
    <row r="108" spans="1:14">
      <c r="A108" s="89"/>
      <c r="B108" s="96"/>
      <c r="C108" s="90"/>
      <c r="D108" s="90"/>
      <c r="E108" s="90"/>
      <c r="F108" s="96"/>
      <c r="G108" s="90"/>
      <c r="H108" s="90"/>
      <c r="I108" s="90"/>
      <c r="J108" s="97"/>
      <c r="K108" s="90"/>
      <c r="L108" s="90"/>
      <c r="M108" s="90"/>
      <c r="N108" s="99"/>
    </row>
    <row r="109" spans="1:14">
      <c r="A109" s="89"/>
      <c r="B109" s="96"/>
      <c r="C109" s="90"/>
      <c r="D109" s="90"/>
      <c r="E109" s="90"/>
      <c r="F109" s="96"/>
      <c r="G109" s="90"/>
      <c r="H109" s="90"/>
      <c r="I109" s="90"/>
      <c r="J109" s="97"/>
      <c r="K109" s="90"/>
      <c r="L109" s="90"/>
      <c r="M109" s="90"/>
      <c r="N109" s="99"/>
    </row>
    <row r="110" spans="1:14">
      <c r="A110" s="89"/>
      <c r="B110" s="96"/>
      <c r="C110" s="90"/>
      <c r="D110" s="90"/>
      <c r="E110" s="90"/>
      <c r="F110" s="96"/>
      <c r="G110" s="90"/>
      <c r="H110" s="90"/>
      <c r="I110" s="90"/>
      <c r="J110" s="97"/>
      <c r="K110" s="90"/>
      <c r="L110" s="90"/>
      <c r="M110" s="90"/>
      <c r="N110" s="99"/>
    </row>
    <row r="111" spans="1:14">
      <c r="A111" s="89"/>
      <c r="B111" s="96"/>
      <c r="C111" s="90"/>
      <c r="D111" s="90"/>
      <c r="E111" s="90"/>
      <c r="F111" s="96"/>
      <c r="G111" s="90"/>
      <c r="H111" s="90"/>
      <c r="I111" s="90"/>
      <c r="J111" s="97"/>
      <c r="K111" s="90"/>
      <c r="L111" s="90"/>
      <c r="M111" s="90"/>
      <c r="N111" s="99"/>
    </row>
    <row r="112" spans="1:14">
      <c r="A112" s="89"/>
      <c r="B112" s="96"/>
      <c r="C112" s="90"/>
      <c r="D112" s="90"/>
      <c r="E112" s="90"/>
      <c r="F112" s="96"/>
      <c r="G112" s="90"/>
      <c r="H112" s="90"/>
      <c r="I112" s="90"/>
      <c r="J112" s="97"/>
      <c r="K112" s="90"/>
      <c r="L112" s="90"/>
      <c r="M112" s="90"/>
      <c r="N112" s="99"/>
    </row>
    <row r="113" spans="1:14">
      <c r="A113" s="89"/>
      <c r="B113" s="96"/>
      <c r="C113" s="90"/>
      <c r="D113" s="90"/>
      <c r="E113" s="90"/>
      <c r="F113" s="96"/>
      <c r="G113" s="90"/>
      <c r="H113" s="90"/>
      <c r="I113" s="90"/>
      <c r="J113" s="97"/>
      <c r="K113" s="90"/>
      <c r="L113" s="90"/>
      <c r="M113" s="90"/>
      <c r="N113" s="99"/>
    </row>
    <row r="114" spans="1:14">
      <c r="A114" s="89"/>
      <c r="B114" s="96"/>
      <c r="C114" s="90"/>
      <c r="D114" s="90"/>
      <c r="E114" s="90"/>
      <c r="F114" s="96"/>
      <c r="G114" s="90"/>
      <c r="H114" s="90"/>
      <c r="I114" s="90"/>
      <c r="J114" s="97"/>
      <c r="K114" s="90"/>
      <c r="L114" s="90"/>
      <c r="M114" s="90"/>
      <c r="N114" s="99"/>
    </row>
    <row r="115" spans="1:14">
      <c r="A115" s="89"/>
      <c r="B115" s="96"/>
      <c r="C115" s="90"/>
      <c r="D115" s="90"/>
      <c r="E115" s="90"/>
      <c r="F115" s="96"/>
      <c r="G115" s="90"/>
      <c r="H115" s="90"/>
      <c r="I115" s="90"/>
      <c r="J115" s="97"/>
      <c r="K115" s="90"/>
      <c r="L115" s="90"/>
      <c r="M115" s="90"/>
      <c r="N115" s="99"/>
    </row>
    <row r="116" spans="1:14">
      <c r="A116" s="89"/>
      <c r="B116" s="96"/>
      <c r="C116" s="90"/>
      <c r="D116" s="90"/>
      <c r="E116" s="90"/>
      <c r="F116" s="96"/>
      <c r="G116" s="90"/>
      <c r="H116" s="90"/>
      <c r="I116" s="90"/>
      <c r="J116" s="97"/>
      <c r="K116" s="90"/>
      <c r="L116" s="90"/>
      <c r="M116" s="90"/>
      <c r="N116" s="99"/>
    </row>
    <row r="117" spans="1:14">
      <c r="A117" s="89"/>
      <c r="B117" s="96"/>
      <c r="C117" s="90"/>
      <c r="D117" s="90"/>
      <c r="E117" s="90"/>
      <c r="F117" s="96"/>
      <c r="G117" s="90"/>
      <c r="H117" s="90"/>
      <c r="I117" s="90"/>
      <c r="J117" s="97"/>
      <c r="K117" s="90"/>
      <c r="L117" s="90"/>
      <c r="M117" s="90"/>
      <c r="N117" s="99"/>
    </row>
    <row r="118" spans="1:14">
      <c r="A118" s="89"/>
      <c r="B118" s="96"/>
      <c r="C118" s="90"/>
      <c r="D118" s="90"/>
      <c r="E118" s="90"/>
      <c r="F118" s="96"/>
      <c r="G118" s="90"/>
      <c r="H118" s="90"/>
      <c r="I118" s="90"/>
      <c r="J118" s="97"/>
      <c r="K118" s="90"/>
      <c r="L118" s="90"/>
      <c r="M118" s="90"/>
      <c r="N118" s="99"/>
    </row>
    <row r="119" spans="1:14">
      <c r="A119" s="89"/>
      <c r="B119" s="96"/>
      <c r="C119" s="90"/>
      <c r="D119" s="90"/>
      <c r="E119" s="90"/>
      <c r="F119" s="96"/>
      <c r="G119" s="90"/>
      <c r="H119" s="90"/>
      <c r="I119" s="90"/>
      <c r="J119" s="97"/>
      <c r="K119" s="90"/>
      <c r="L119" s="90"/>
      <c r="M119" s="90"/>
      <c r="N119" s="99"/>
    </row>
    <row r="120" spans="1:14">
      <c r="A120" s="89"/>
      <c r="B120" s="96"/>
      <c r="C120" s="90"/>
      <c r="D120" s="90"/>
      <c r="E120" s="90"/>
      <c r="F120" s="96"/>
      <c r="G120" s="90"/>
      <c r="H120" s="90"/>
      <c r="I120" s="90"/>
      <c r="J120" s="97"/>
      <c r="K120" s="90"/>
      <c r="L120" s="90"/>
      <c r="M120" s="90"/>
      <c r="N120" s="99"/>
    </row>
    <row r="121" spans="1:14">
      <c r="A121" s="89"/>
      <c r="B121" s="96"/>
      <c r="C121" s="90"/>
      <c r="D121" s="90"/>
      <c r="E121" s="90"/>
      <c r="F121" s="96"/>
      <c r="G121" s="90"/>
      <c r="H121" s="90"/>
      <c r="I121" s="90"/>
      <c r="J121" s="97"/>
      <c r="K121" s="90"/>
      <c r="L121" s="90"/>
      <c r="M121" s="90"/>
      <c r="N121" s="99"/>
    </row>
    <row r="122" spans="1:14">
      <c r="A122" s="89"/>
      <c r="B122" s="96"/>
      <c r="C122" s="90"/>
      <c r="D122" s="90"/>
      <c r="E122" s="90"/>
      <c r="F122" s="96"/>
      <c r="G122" s="90"/>
      <c r="H122" s="90"/>
      <c r="I122" s="90"/>
      <c r="J122" s="97"/>
      <c r="K122" s="90"/>
      <c r="L122" s="90"/>
      <c r="M122" s="90"/>
      <c r="N122" s="99"/>
    </row>
    <row r="123" spans="1:14">
      <c r="A123" s="89"/>
      <c r="B123" s="96"/>
      <c r="C123" s="90"/>
      <c r="D123" s="90"/>
      <c r="E123" s="90"/>
      <c r="F123" s="96"/>
      <c r="G123" s="90"/>
      <c r="H123" s="90"/>
      <c r="I123" s="90"/>
      <c r="J123" s="97"/>
      <c r="K123" s="90"/>
      <c r="L123" s="90"/>
      <c r="M123" s="90"/>
      <c r="N123" s="99"/>
    </row>
    <row r="124" spans="1:14">
      <c r="A124" s="89"/>
      <c r="B124" s="96"/>
      <c r="C124" s="90"/>
      <c r="D124" s="90"/>
      <c r="E124" s="90"/>
      <c r="F124" s="96"/>
      <c r="G124" s="90"/>
      <c r="H124" s="90"/>
      <c r="I124" s="90"/>
      <c r="J124" s="97"/>
      <c r="K124" s="90"/>
      <c r="L124" s="90"/>
      <c r="M124" s="90"/>
      <c r="N124" s="99"/>
    </row>
    <row r="125" spans="1:14">
      <c r="A125" s="89"/>
      <c r="B125" s="96"/>
      <c r="C125" s="90"/>
      <c r="D125" s="90"/>
      <c r="E125" s="90"/>
      <c r="F125" s="96"/>
      <c r="G125" s="90"/>
      <c r="H125" s="90"/>
      <c r="I125" s="90"/>
      <c r="J125" s="97"/>
      <c r="K125" s="90"/>
      <c r="L125" s="90"/>
      <c r="M125" s="90"/>
      <c r="N125" s="99"/>
    </row>
    <row r="126" spans="1:14">
      <c r="A126" s="89"/>
      <c r="B126" s="96"/>
      <c r="C126" s="90"/>
      <c r="D126" s="90"/>
      <c r="E126" s="90"/>
      <c r="F126" s="96"/>
      <c r="G126" s="90"/>
      <c r="H126" s="90"/>
      <c r="I126" s="90"/>
      <c r="J126" s="97"/>
      <c r="K126" s="90"/>
      <c r="L126" s="90"/>
      <c r="M126" s="90"/>
      <c r="N126" s="99"/>
    </row>
    <row r="127" spans="1:14">
      <c r="A127" s="89"/>
      <c r="B127" s="96"/>
      <c r="C127" s="90"/>
      <c r="D127" s="90"/>
      <c r="E127" s="90"/>
      <c r="F127" s="96"/>
      <c r="G127" s="90"/>
      <c r="H127" s="90"/>
      <c r="I127" s="90"/>
      <c r="J127" s="97"/>
      <c r="K127" s="90"/>
      <c r="L127" s="90"/>
      <c r="M127" s="90"/>
      <c r="N127" s="99"/>
    </row>
    <row r="128" spans="1:14">
      <c r="A128" s="89"/>
      <c r="B128" s="96"/>
      <c r="C128" s="90"/>
      <c r="D128" s="90"/>
      <c r="E128" s="90"/>
      <c r="F128" s="96"/>
      <c r="G128" s="90"/>
      <c r="H128" s="90"/>
      <c r="I128" s="90"/>
      <c r="J128" s="97"/>
      <c r="K128" s="90"/>
      <c r="L128" s="90"/>
      <c r="M128" s="90"/>
      <c r="N128" s="99"/>
    </row>
    <row r="129" spans="1:14">
      <c r="A129" s="89"/>
      <c r="B129" s="96"/>
      <c r="C129" s="90"/>
      <c r="D129" s="90"/>
      <c r="E129" s="90"/>
      <c r="F129" s="96"/>
      <c r="G129" s="90"/>
      <c r="H129" s="90"/>
      <c r="I129" s="90"/>
      <c r="J129" s="97"/>
      <c r="K129" s="90"/>
      <c r="L129" s="90"/>
      <c r="M129" s="90"/>
      <c r="N129" s="99"/>
    </row>
    <row r="130" spans="1:14">
      <c r="A130" s="89"/>
      <c r="B130" s="96"/>
      <c r="C130" s="90"/>
      <c r="D130" s="90"/>
      <c r="E130" s="90"/>
      <c r="F130" s="96"/>
      <c r="G130" s="90"/>
      <c r="H130" s="90"/>
      <c r="I130" s="90"/>
      <c r="J130" s="97"/>
      <c r="K130" s="90"/>
      <c r="L130" s="90"/>
      <c r="M130" s="90"/>
      <c r="N130" s="99"/>
    </row>
    <row r="131" spans="1:14">
      <c r="A131" s="89"/>
      <c r="B131" s="96"/>
      <c r="C131" s="90"/>
      <c r="D131" s="90"/>
      <c r="E131" s="90"/>
      <c r="F131" s="96"/>
      <c r="G131" s="90"/>
      <c r="H131" s="90"/>
      <c r="I131" s="90"/>
      <c r="J131" s="97"/>
      <c r="K131" s="90"/>
      <c r="L131" s="90"/>
      <c r="M131" s="90"/>
      <c r="N131" s="99"/>
    </row>
    <row r="132" spans="1:14">
      <c r="A132" s="89"/>
      <c r="B132" s="96"/>
      <c r="C132" s="90"/>
      <c r="D132" s="90"/>
      <c r="E132" s="90"/>
      <c r="F132" s="96"/>
      <c r="G132" s="90"/>
      <c r="H132" s="90"/>
      <c r="I132" s="90"/>
      <c r="J132" s="97"/>
      <c r="K132" s="90"/>
      <c r="L132" s="90"/>
      <c r="M132" s="90"/>
      <c r="N132" s="99"/>
    </row>
    <row r="133" spans="1:14">
      <c r="A133" s="89"/>
      <c r="B133" s="96"/>
      <c r="C133" s="90"/>
      <c r="D133" s="90"/>
      <c r="E133" s="90"/>
      <c r="F133" s="96"/>
      <c r="G133" s="90"/>
      <c r="H133" s="90"/>
      <c r="I133" s="90"/>
      <c r="J133" s="97"/>
      <c r="K133" s="90"/>
      <c r="L133" s="90"/>
      <c r="M133" s="90"/>
      <c r="N133" s="99"/>
    </row>
    <row r="134" spans="1:14">
      <c r="A134" s="89"/>
      <c r="B134" s="96"/>
      <c r="C134" s="90"/>
      <c r="D134" s="90"/>
      <c r="E134" s="90"/>
      <c r="F134" s="96"/>
      <c r="G134" s="90"/>
      <c r="H134" s="90"/>
      <c r="I134" s="90"/>
      <c r="J134" s="97"/>
      <c r="K134" s="90"/>
      <c r="L134" s="90"/>
      <c r="M134" s="90"/>
      <c r="N134" s="99"/>
    </row>
    <row r="135" spans="1:14">
      <c r="A135" s="89"/>
      <c r="B135" s="96"/>
      <c r="C135" s="90"/>
      <c r="D135" s="90"/>
      <c r="E135" s="90"/>
      <c r="F135" s="96"/>
      <c r="G135" s="90"/>
      <c r="H135" s="90"/>
      <c r="I135" s="90"/>
      <c r="J135" s="97"/>
      <c r="K135" s="90"/>
      <c r="L135" s="90"/>
      <c r="M135" s="90"/>
      <c r="N135" s="99"/>
    </row>
    <row r="136" spans="1:14">
      <c r="A136" s="89"/>
      <c r="B136" s="96"/>
      <c r="C136" s="90"/>
      <c r="D136" s="90"/>
      <c r="E136" s="90"/>
      <c r="F136" s="96"/>
      <c r="G136" s="90"/>
      <c r="H136" s="90"/>
      <c r="I136" s="90"/>
      <c r="J136" s="97"/>
      <c r="K136" s="90"/>
      <c r="L136" s="90"/>
      <c r="M136" s="90"/>
      <c r="N136" s="99"/>
    </row>
    <row r="137" spans="1:14">
      <c r="A137" s="89"/>
      <c r="B137" s="96"/>
      <c r="C137" s="90"/>
      <c r="D137" s="90"/>
      <c r="E137" s="90"/>
      <c r="F137" s="96"/>
      <c r="G137" s="90"/>
      <c r="H137" s="90"/>
      <c r="I137" s="90"/>
      <c r="J137" s="97"/>
      <c r="K137" s="90"/>
      <c r="L137" s="90"/>
      <c r="M137" s="90"/>
      <c r="N137" s="99"/>
    </row>
    <row r="138" spans="1:14">
      <c r="A138" s="89"/>
      <c r="B138" s="96"/>
      <c r="C138" s="90"/>
      <c r="D138" s="90"/>
      <c r="E138" s="90"/>
      <c r="F138" s="96"/>
      <c r="G138" s="90"/>
      <c r="H138" s="90"/>
      <c r="I138" s="90"/>
      <c r="J138" s="97"/>
      <c r="K138" s="90"/>
      <c r="L138" s="90"/>
      <c r="M138" s="90"/>
      <c r="N138" s="99"/>
    </row>
    <row r="139" spans="1:14">
      <c r="A139" s="89"/>
      <c r="B139" s="96"/>
      <c r="C139" s="90"/>
      <c r="D139" s="90"/>
      <c r="E139" s="90"/>
      <c r="F139" s="96"/>
      <c r="G139" s="90"/>
      <c r="H139" s="90"/>
      <c r="I139" s="90"/>
      <c r="J139" s="97"/>
      <c r="K139" s="90"/>
      <c r="L139" s="90"/>
      <c r="M139" s="90"/>
      <c r="N139" s="99"/>
    </row>
    <row r="140" spans="1:14">
      <c r="A140" s="89"/>
      <c r="B140" s="96"/>
      <c r="C140" s="90"/>
      <c r="D140" s="90"/>
      <c r="E140" s="90"/>
      <c r="F140" s="96"/>
      <c r="G140" s="90"/>
      <c r="H140" s="90"/>
      <c r="I140" s="90"/>
      <c r="J140" s="97"/>
      <c r="K140" s="90"/>
      <c r="L140" s="90"/>
      <c r="M140" s="90"/>
      <c r="N140" s="99"/>
    </row>
    <row r="141" spans="1:14">
      <c r="A141" s="89"/>
      <c r="B141" s="96"/>
      <c r="C141" s="90"/>
      <c r="D141" s="90"/>
      <c r="E141" s="90"/>
      <c r="F141" s="96"/>
      <c r="G141" s="90"/>
      <c r="H141" s="90"/>
      <c r="I141" s="90"/>
      <c r="J141" s="97"/>
      <c r="K141" s="90"/>
      <c r="L141" s="90"/>
      <c r="M141" s="90"/>
      <c r="N141" s="99"/>
    </row>
    <row r="142" spans="1:14">
      <c r="A142" s="89"/>
      <c r="B142" s="96"/>
      <c r="C142" s="90"/>
      <c r="D142" s="90"/>
      <c r="E142" s="90"/>
      <c r="F142" s="96"/>
      <c r="G142" s="90"/>
      <c r="H142" s="90"/>
      <c r="I142" s="90"/>
      <c r="J142" s="97"/>
      <c r="K142" s="90"/>
      <c r="L142" s="90"/>
      <c r="M142" s="90"/>
      <c r="N142" s="99"/>
    </row>
    <row r="143" spans="1:14">
      <c r="A143" s="89"/>
      <c r="B143" s="96"/>
      <c r="C143" s="90"/>
      <c r="D143" s="90"/>
      <c r="E143" s="90"/>
      <c r="F143" s="96"/>
      <c r="G143" s="90"/>
      <c r="H143" s="90"/>
      <c r="I143" s="90"/>
      <c r="J143" s="97"/>
      <c r="K143" s="90"/>
      <c r="L143" s="90"/>
      <c r="M143" s="90"/>
      <c r="N143" s="99"/>
    </row>
    <row r="144" spans="1:14">
      <c r="A144" s="89"/>
      <c r="B144" s="96"/>
      <c r="C144" s="90"/>
      <c r="D144" s="90"/>
      <c r="E144" s="90"/>
      <c r="F144" s="96"/>
      <c r="G144" s="90"/>
      <c r="H144" s="90"/>
      <c r="I144" s="90"/>
      <c r="J144" s="97"/>
      <c r="K144" s="90"/>
      <c r="L144" s="90"/>
      <c r="M144" s="90"/>
      <c r="N144" s="99"/>
    </row>
    <row r="145" spans="1:14">
      <c r="A145" s="89"/>
      <c r="B145" s="96"/>
      <c r="C145" s="90"/>
      <c r="D145" s="90"/>
      <c r="E145" s="90"/>
      <c r="F145" s="96"/>
      <c r="G145" s="90"/>
      <c r="H145" s="90"/>
      <c r="I145" s="90"/>
      <c r="J145" s="97"/>
      <c r="K145" s="90"/>
      <c r="L145" s="90"/>
      <c r="M145" s="90"/>
      <c r="N145" s="99"/>
    </row>
    <row r="146" spans="1:14">
      <c r="A146" s="89"/>
      <c r="B146" s="96"/>
      <c r="C146" s="90"/>
      <c r="D146" s="90"/>
      <c r="E146" s="90"/>
      <c r="F146" s="96"/>
      <c r="G146" s="90"/>
      <c r="H146" s="90"/>
      <c r="I146" s="90"/>
      <c r="J146" s="97"/>
      <c r="K146" s="90"/>
      <c r="L146" s="90"/>
      <c r="M146" s="90"/>
      <c r="N146" s="99"/>
    </row>
    <row r="147" spans="1:14">
      <c r="A147" s="89"/>
      <c r="B147" s="96"/>
      <c r="C147" s="90"/>
      <c r="D147" s="90"/>
      <c r="E147" s="90"/>
      <c r="F147" s="96"/>
      <c r="G147" s="90"/>
      <c r="H147" s="90"/>
      <c r="I147" s="90"/>
      <c r="J147" s="97"/>
      <c r="K147" s="90"/>
      <c r="L147" s="90"/>
      <c r="M147" s="90"/>
      <c r="N147" s="99"/>
    </row>
    <row r="148" spans="1:14">
      <c r="A148" s="89"/>
      <c r="B148" s="96"/>
      <c r="C148" s="90"/>
      <c r="D148" s="90"/>
      <c r="E148" s="90"/>
      <c r="F148" s="96"/>
      <c r="G148" s="90"/>
      <c r="H148" s="90"/>
      <c r="I148" s="90"/>
      <c r="J148" s="97"/>
      <c r="K148" s="90"/>
      <c r="L148" s="90"/>
      <c r="M148" s="90"/>
      <c r="N148" s="99"/>
    </row>
    <row r="149" spans="1:14">
      <c r="A149" s="89"/>
      <c r="B149" s="96"/>
      <c r="C149" s="90"/>
      <c r="D149" s="90"/>
      <c r="E149" s="90"/>
      <c r="F149" s="96"/>
      <c r="G149" s="90"/>
      <c r="H149" s="90"/>
      <c r="I149" s="90"/>
      <c r="J149" s="97"/>
      <c r="K149" s="90"/>
      <c r="L149" s="90"/>
      <c r="M149" s="90"/>
      <c r="N149" s="99"/>
    </row>
    <row r="150" spans="1:14">
      <c r="A150" s="89"/>
      <c r="B150" s="96"/>
      <c r="C150" s="90"/>
      <c r="D150" s="90"/>
      <c r="E150" s="90"/>
      <c r="F150" s="96"/>
      <c r="G150" s="90"/>
      <c r="H150" s="90"/>
      <c r="I150" s="90"/>
      <c r="J150" s="97"/>
      <c r="K150" s="90"/>
      <c r="L150" s="90"/>
      <c r="M150" s="90"/>
      <c r="N150" s="99"/>
    </row>
    <row r="151" spans="1:14">
      <c r="A151" s="89"/>
      <c r="B151" s="96"/>
      <c r="C151" s="90"/>
      <c r="D151" s="90"/>
      <c r="E151" s="90"/>
      <c r="F151" s="96"/>
      <c r="G151" s="90"/>
      <c r="H151" s="90"/>
      <c r="I151" s="90"/>
      <c r="J151" s="97"/>
      <c r="K151" s="90"/>
      <c r="L151" s="90"/>
      <c r="M151" s="90"/>
      <c r="N151" s="99"/>
    </row>
    <row r="152" spans="1:14">
      <c r="A152" s="89"/>
      <c r="B152" s="96"/>
      <c r="C152" s="90"/>
      <c r="D152" s="90"/>
      <c r="E152" s="90"/>
      <c r="F152" s="96"/>
      <c r="G152" s="90"/>
      <c r="H152" s="90"/>
      <c r="I152" s="90"/>
      <c r="J152" s="97"/>
      <c r="K152" s="90"/>
      <c r="L152" s="90"/>
      <c r="M152" s="90"/>
      <c r="N152" s="99"/>
    </row>
    <row r="153" spans="1:14">
      <c r="A153" s="89"/>
      <c r="B153" s="96"/>
      <c r="C153" s="90"/>
      <c r="D153" s="90"/>
      <c r="E153" s="90"/>
      <c r="F153" s="96"/>
      <c r="G153" s="90"/>
      <c r="H153" s="90"/>
      <c r="I153" s="90"/>
      <c r="J153" s="97"/>
      <c r="K153" s="90"/>
      <c r="L153" s="90"/>
      <c r="M153" s="90"/>
      <c r="N153" s="99"/>
    </row>
    <row r="154" spans="1:14">
      <c r="A154" s="89"/>
      <c r="B154" s="96"/>
      <c r="C154" s="90"/>
      <c r="D154" s="90"/>
      <c r="E154" s="90"/>
      <c r="F154" s="96"/>
      <c r="G154" s="90"/>
      <c r="H154" s="90"/>
      <c r="I154" s="90"/>
      <c r="J154" s="97"/>
      <c r="K154" s="90"/>
      <c r="L154" s="90"/>
      <c r="M154" s="90"/>
      <c r="N154" s="99"/>
    </row>
    <row r="155" spans="1:14">
      <c r="A155" s="89"/>
      <c r="B155" s="96"/>
      <c r="C155" s="90"/>
      <c r="D155" s="90"/>
      <c r="E155" s="90"/>
      <c r="F155" s="96"/>
      <c r="G155" s="90"/>
      <c r="H155" s="90"/>
      <c r="I155" s="90"/>
      <c r="J155" s="97"/>
      <c r="K155" s="90"/>
      <c r="L155" s="90"/>
      <c r="M155" s="90"/>
      <c r="N155" s="99"/>
    </row>
    <row r="156" spans="1:14">
      <c r="A156" s="89"/>
      <c r="B156" s="96"/>
      <c r="C156" s="90"/>
      <c r="D156" s="90"/>
      <c r="E156" s="90"/>
      <c r="F156" s="96"/>
      <c r="G156" s="90"/>
      <c r="H156" s="90"/>
      <c r="I156" s="90"/>
      <c r="J156" s="97"/>
      <c r="K156" s="90"/>
      <c r="L156" s="90"/>
      <c r="M156" s="90"/>
      <c r="N156" s="99"/>
    </row>
    <row r="157" spans="1:14">
      <c r="A157" s="89"/>
      <c r="B157" s="96"/>
      <c r="C157" s="90"/>
      <c r="D157" s="90"/>
      <c r="E157" s="90"/>
      <c r="F157" s="96"/>
      <c r="G157" s="90"/>
      <c r="H157" s="90"/>
      <c r="I157" s="90"/>
      <c r="J157" s="97"/>
      <c r="K157" s="90"/>
      <c r="L157" s="90"/>
      <c r="M157" s="90"/>
      <c r="N157" s="99"/>
    </row>
    <row r="158" spans="1:14">
      <c r="A158" s="89"/>
      <c r="B158" s="96"/>
      <c r="C158" s="90"/>
      <c r="D158" s="90"/>
      <c r="E158" s="90"/>
      <c r="F158" s="96"/>
      <c r="G158" s="90"/>
      <c r="H158" s="90"/>
      <c r="I158" s="90"/>
      <c r="J158" s="97"/>
      <c r="K158" s="90"/>
      <c r="L158" s="90"/>
      <c r="M158" s="90"/>
      <c r="N158" s="99"/>
    </row>
    <row r="159" spans="1:14">
      <c r="A159" s="89"/>
      <c r="B159" s="96"/>
      <c r="C159" s="90"/>
      <c r="D159" s="90"/>
      <c r="E159" s="90"/>
      <c r="F159" s="96"/>
      <c r="G159" s="90"/>
      <c r="H159" s="90"/>
      <c r="I159" s="90"/>
      <c r="J159" s="97"/>
      <c r="K159" s="90"/>
      <c r="L159" s="90"/>
      <c r="M159" s="90"/>
      <c r="N159" s="99"/>
    </row>
    <row r="160" spans="1:14">
      <c r="A160" s="89"/>
      <c r="B160" s="96"/>
      <c r="C160" s="90"/>
      <c r="D160" s="90"/>
      <c r="E160" s="90"/>
      <c r="F160" s="96"/>
      <c r="G160" s="90"/>
      <c r="H160" s="90"/>
      <c r="I160" s="90"/>
      <c r="J160" s="97"/>
      <c r="K160" s="90"/>
      <c r="L160" s="90"/>
      <c r="M160" s="90"/>
      <c r="N160" s="99"/>
    </row>
    <row r="161" spans="1:14">
      <c r="A161" s="89"/>
      <c r="B161" s="96"/>
      <c r="C161" s="90"/>
      <c r="D161" s="90"/>
      <c r="E161" s="90"/>
      <c r="F161" s="96"/>
      <c r="G161" s="90"/>
      <c r="H161" s="90"/>
      <c r="I161" s="90"/>
      <c r="J161" s="97"/>
      <c r="K161" s="90"/>
      <c r="L161" s="90"/>
      <c r="M161" s="90"/>
      <c r="N161" s="99"/>
    </row>
    <row r="162" spans="1:14">
      <c r="A162" s="89"/>
      <c r="B162" s="96"/>
      <c r="C162" s="90"/>
      <c r="D162" s="90"/>
      <c r="E162" s="90"/>
      <c r="F162" s="96"/>
      <c r="G162" s="90"/>
      <c r="H162" s="90"/>
      <c r="I162" s="90"/>
      <c r="J162" s="97"/>
      <c r="K162" s="90"/>
      <c r="L162" s="90"/>
      <c r="M162" s="90"/>
      <c r="N162" s="99"/>
    </row>
    <row r="163" spans="1:14">
      <c r="A163" s="89"/>
      <c r="B163" s="96"/>
      <c r="C163" s="90"/>
      <c r="D163" s="90"/>
      <c r="E163" s="90"/>
      <c r="F163" s="96"/>
      <c r="G163" s="90"/>
      <c r="H163" s="90"/>
      <c r="I163" s="90"/>
      <c r="J163" s="97"/>
      <c r="K163" s="90"/>
      <c r="L163" s="90"/>
      <c r="M163" s="90"/>
      <c r="N163" s="99"/>
    </row>
    <row r="164" spans="1:14">
      <c r="A164" s="89"/>
      <c r="B164" s="96"/>
      <c r="C164" s="90"/>
      <c r="D164" s="90"/>
      <c r="E164" s="90"/>
      <c r="F164" s="96"/>
      <c r="G164" s="90"/>
      <c r="H164" s="90"/>
      <c r="I164" s="90"/>
      <c r="J164" s="97"/>
      <c r="K164" s="90"/>
      <c r="L164" s="90"/>
      <c r="M164" s="90"/>
      <c r="N164" s="99"/>
    </row>
    <row r="165" spans="1:14">
      <c r="A165" s="89"/>
      <c r="B165" s="96"/>
      <c r="C165" s="90"/>
      <c r="D165" s="90"/>
      <c r="E165" s="90"/>
      <c r="F165" s="96"/>
      <c r="G165" s="90"/>
      <c r="H165" s="90"/>
      <c r="I165" s="90"/>
      <c r="J165" s="97"/>
      <c r="K165" s="90"/>
      <c r="L165" s="90"/>
      <c r="M165" s="90"/>
      <c r="N165" s="99"/>
    </row>
    <row r="166" spans="1:14">
      <c r="A166" s="89"/>
      <c r="B166" s="96"/>
      <c r="C166" s="90"/>
      <c r="D166" s="90"/>
      <c r="E166" s="90"/>
      <c r="F166" s="96"/>
      <c r="G166" s="90"/>
      <c r="H166" s="90"/>
      <c r="I166" s="90"/>
      <c r="J166" s="97"/>
      <c r="K166" s="90"/>
      <c r="L166" s="90"/>
      <c r="M166" s="90"/>
      <c r="N166" s="99"/>
    </row>
    <row r="167" spans="1:14">
      <c r="A167" s="89"/>
      <c r="B167" s="96"/>
      <c r="C167" s="90"/>
      <c r="D167" s="90"/>
      <c r="E167" s="90"/>
      <c r="F167" s="96"/>
      <c r="G167" s="90"/>
      <c r="H167" s="90"/>
      <c r="I167" s="90"/>
      <c r="J167" s="97"/>
      <c r="K167" s="90"/>
      <c r="L167" s="90"/>
      <c r="M167" s="90"/>
      <c r="N167" s="99"/>
    </row>
    <row r="168" spans="1:14">
      <c r="A168" s="89"/>
      <c r="B168" s="96"/>
      <c r="C168" s="90"/>
      <c r="D168" s="90"/>
      <c r="E168" s="90"/>
      <c r="F168" s="96"/>
      <c r="G168" s="90"/>
      <c r="H168" s="90"/>
      <c r="I168" s="90"/>
      <c r="J168" s="97"/>
      <c r="K168" s="90"/>
      <c r="L168" s="90"/>
      <c r="M168" s="90"/>
      <c r="N168" s="99"/>
    </row>
    <row r="169" spans="1:14">
      <c r="A169" s="89"/>
      <c r="B169" s="96"/>
      <c r="C169" s="90"/>
      <c r="D169" s="90"/>
      <c r="E169" s="90"/>
      <c r="F169" s="96"/>
      <c r="G169" s="90"/>
      <c r="H169" s="90"/>
      <c r="I169" s="90"/>
      <c r="J169" s="97"/>
      <c r="K169" s="90"/>
      <c r="L169" s="90"/>
      <c r="M169" s="90"/>
      <c r="N169" s="99"/>
    </row>
    <row r="170" spans="1:14">
      <c r="A170" s="89"/>
      <c r="B170" s="96"/>
      <c r="C170" s="90"/>
      <c r="D170" s="90"/>
      <c r="E170" s="90"/>
      <c r="F170" s="96"/>
      <c r="G170" s="90"/>
      <c r="H170" s="90"/>
      <c r="I170" s="90"/>
      <c r="J170" s="97"/>
      <c r="K170" s="90"/>
      <c r="L170" s="90"/>
      <c r="M170" s="90"/>
      <c r="N170" s="99"/>
    </row>
    <row r="171" spans="1:14">
      <c r="A171" s="89"/>
      <c r="B171" s="96"/>
      <c r="C171" s="90"/>
      <c r="D171" s="90"/>
      <c r="E171" s="90"/>
      <c r="F171" s="96"/>
      <c r="G171" s="90"/>
      <c r="H171" s="90"/>
      <c r="I171" s="90"/>
      <c r="J171" s="97"/>
      <c r="K171" s="90"/>
      <c r="L171" s="90"/>
      <c r="M171" s="90"/>
      <c r="N171" s="99"/>
    </row>
    <row r="172" spans="1:14">
      <c r="A172" s="89"/>
      <c r="B172" s="96"/>
      <c r="C172" s="90"/>
      <c r="D172" s="90"/>
      <c r="E172" s="90"/>
      <c r="F172" s="96"/>
      <c r="G172" s="90"/>
      <c r="H172" s="90"/>
      <c r="I172" s="90"/>
      <c r="J172" s="97"/>
      <c r="K172" s="90"/>
      <c r="L172" s="90"/>
      <c r="M172" s="90"/>
      <c r="N172" s="99"/>
    </row>
    <row r="173" spans="1:14">
      <c r="A173" s="89"/>
      <c r="B173" s="96"/>
      <c r="C173" s="90"/>
      <c r="D173" s="90"/>
      <c r="E173" s="90"/>
      <c r="F173" s="96"/>
      <c r="G173" s="90"/>
      <c r="H173" s="90"/>
      <c r="I173" s="90"/>
      <c r="J173" s="97"/>
      <c r="K173" s="90"/>
      <c r="L173" s="90"/>
      <c r="M173" s="90"/>
      <c r="N173" s="99"/>
    </row>
    <row r="174" spans="1:14">
      <c r="A174" s="89"/>
      <c r="B174" s="96"/>
      <c r="C174" s="90"/>
      <c r="D174" s="90"/>
      <c r="E174" s="90"/>
      <c r="F174" s="96"/>
      <c r="G174" s="90"/>
      <c r="H174" s="90"/>
      <c r="I174" s="90"/>
      <c r="J174" s="97"/>
      <c r="K174" s="90"/>
      <c r="L174" s="90"/>
      <c r="M174" s="90"/>
      <c r="N174" s="99"/>
    </row>
    <row r="175" spans="1:14">
      <c r="A175" s="89"/>
      <c r="B175" s="96"/>
      <c r="C175" s="90"/>
      <c r="D175" s="90"/>
      <c r="E175" s="90"/>
      <c r="F175" s="96"/>
      <c r="G175" s="90"/>
      <c r="H175" s="90"/>
      <c r="I175" s="90"/>
      <c r="J175" s="97"/>
      <c r="K175" s="90"/>
      <c r="L175" s="90"/>
      <c r="M175" s="90"/>
      <c r="N175" s="99"/>
    </row>
    <row r="176" spans="1:14">
      <c r="A176" s="89"/>
      <c r="B176" s="96"/>
      <c r="C176" s="90"/>
      <c r="D176" s="90"/>
      <c r="E176" s="90"/>
      <c r="F176" s="96"/>
      <c r="G176" s="90"/>
      <c r="H176" s="90"/>
      <c r="I176" s="90"/>
      <c r="J176" s="97"/>
      <c r="K176" s="90"/>
      <c r="L176" s="90"/>
      <c r="M176" s="90"/>
      <c r="N176" s="99"/>
    </row>
    <row r="177" spans="1:14">
      <c r="A177" s="89"/>
      <c r="B177" s="96"/>
      <c r="C177" s="90"/>
      <c r="D177" s="90"/>
      <c r="E177" s="90"/>
      <c r="F177" s="96"/>
      <c r="G177" s="90"/>
      <c r="H177" s="90"/>
      <c r="I177" s="90"/>
      <c r="J177" s="97"/>
      <c r="K177" s="90"/>
      <c r="L177" s="90"/>
      <c r="M177" s="90"/>
      <c r="N177" s="99"/>
    </row>
    <row r="178" spans="1:14">
      <c r="A178" s="89"/>
      <c r="B178" s="96"/>
      <c r="C178" s="90"/>
      <c r="D178" s="90"/>
      <c r="E178" s="90"/>
      <c r="F178" s="96"/>
      <c r="G178" s="90"/>
      <c r="H178" s="90"/>
      <c r="I178" s="90"/>
      <c r="J178" s="97"/>
      <c r="K178" s="90"/>
      <c r="L178" s="90"/>
      <c r="M178" s="90"/>
      <c r="N178" s="99"/>
    </row>
    <row r="179" spans="1:14">
      <c r="A179" s="89"/>
      <c r="B179" s="96"/>
      <c r="C179" s="90"/>
      <c r="D179" s="90"/>
      <c r="E179" s="90"/>
      <c r="F179" s="96"/>
      <c r="G179" s="90"/>
      <c r="H179" s="90"/>
      <c r="I179" s="90"/>
      <c r="J179" s="97"/>
      <c r="K179" s="90"/>
      <c r="L179" s="90"/>
      <c r="M179" s="90"/>
      <c r="N179" s="99"/>
    </row>
    <row r="180" spans="1:14">
      <c r="A180" s="89"/>
      <c r="B180" s="96"/>
      <c r="C180" s="90"/>
      <c r="D180" s="90"/>
      <c r="E180" s="90"/>
      <c r="F180" s="96"/>
      <c r="G180" s="90"/>
      <c r="H180" s="90"/>
      <c r="I180" s="90"/>
      <c r="J180" s="97"/>
      <c r="K180" s="90"/>
      <c r="L180" s="90"/>
      <c r="M180" s="90"/>
      <c r="N180" s="99"/>
    </row>
    <row r="181" spans="1:14">
      <c r="A181" s="89"/>
      <c r="B181" s="96"/>
      <c r="C181" s="90"/>
      <c r="D181" s="90"/>
      <c r="E181" s="90"/>
      <c r="F181" s="96"/>
      <c r="G181" s="90"/>
      <c r="H181" s="90"/>
      <c r="I181" s="90"/>
      <c r="J181" s="97"/>
      <c r="K181" s="90"/>
      <c r="L181" s="90"/>
      <c r="M181" s="90"/>
      <c r="N181" s="99"/>
    </row>
    <row r="182" spans="1:14">
      <c r="A182" s="89"/>
      <c r="B182" s="96"/>
      <c r="C182" s="90"/>
      <c r="D182" s="90"/>
      <c r="E182" s="90"/>
      <c r="F182" s="96"/>
      <c r="G182" s="90"/>
      <c r="H182" s="90"/>
      <c r="I182" s="90"/>
      <c r="J182" s="97"/>
      <c r="K182" s="90"/>
      <c r="L182" s="90"/>
      <c r="M182" s="90"/>
      <c r="N182" s="99"/>
    </row>
    <row r="183" spans="1:14">
      <c r="A183" s="89"/>
      <c r="B183" s="96"/>
      <c r="C183" s="90"/>
      <c r="D183" s="90"/>
      <c r="E183" s="90"/>
      <c r="F183" s="96"/>
      <c r="G183" s="90"/>
      <c r="H183" s="90"/>
      <c r="I183" s="90"/>
      <c r="J183" s="97"/>
      <c r="K183" s="90"/>
      <c r="L183" s="90"/>
      <c r="M183" s="90"/>
      <c r="N183" s="99"/>
    </row>
    <row r="184" spans="1:14" ht="13.5" thickBot="1">
      <c r="A184" s="186"/>
      <c r="B184" s="187"/>
      <c r="C184" s="188"/>
      <c r="D184" s="188"/>
      <c r="E184" s="188"/>
      <c r="F184" s="187"/>
      <c r="G184" s="188"/>
      <c r="H184" s="188"/>
      <c r="I184" s="188"/>
      <c r="J184" s="189"/>
      <c r="K184" s="188"/>
      <c r="L184" s="188"/>
      <c r="M184" s="188"/>
      <c r="N184" s="190"/>
    </row>
    <row r="185" spans="1:14" ht="13.5" thickTop="1"/>
  </sheetData>
  <mergeCells count="3">
    <mergeCell ref="B33:E33"/>
    <mergeCell ref="F33:J33"/>
    <mergeCell ref="K33:N33"/>
  </mergeCells>
  <phoneticPr fontId="2" type="noConversion"/>
  <conditionalFormatting sqref="K35:N184">
    <cfRule type="cellIs" dxfId="0" priority="1" stopIfTrue="1" operator="greaterThan">
      <formula>0</formula>
    </cfRule>
  </conditionalFormatting>
  <pageMargins left="0.75" right="0.75" top="1" bottom="1" header="0.5" footer="0.5"/>
  <pageSetup scale="59" fitToHeight="3"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9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100</vt:i4>
      </vt:variant>
    </vt:vector>
  </HeadingPairs>
  <TitlesOfParts>
    <vt:vector size="110" baseType="lpstr">
      <vt:lpstr>Meal Manager</vt:lpstr>
      <vt:lpstr>Plan 1</vt:lpstr>
      <vt:lpstr>Plan 2</vt:lpstr>
      <vt:lpstr>Plan 3</vt:lpstr>
      <vt:lpstr>Plan 4</vt:lpstr>
      <vt:lpstr>Plan 5</vt:lpstr>
      <vt:lpstr>Info</vt:lpstr>
      <vt:lpstr>Stats</vt:lpstr>
      <vt:lpstr>Export</vt:lpstr>
      <vt:lpstr>Results Graph</vt:lpstr>
      <vt:lpstr>Beverages</vt:lpstr>
      <vt:lpstr>Body.db</vt:lpstr>
      <vt:lpstr>Body.match</vt:lpstr>
      <vt:lpstr>Body.type</vt:lpstr>
      <vt:lpstr>Body_type</vt:lpstr>
      <vt:lpstr>Breads</vt:lpstr>
      <vt:lpstr>Cereals</vt:lpstr>
      <vt:lpstr>Daily.Stats</vt:lpstr>
      <vt:lpstr>Dairy_Egg</vt:lpstr>
      <vt:lpstr>Data.home</vt:lpstr>
      <vt:lpstr>'Plan 2'!Ecto</vt:lpstr>
      <vt:lpstr>'Plan 3'!Ecto</vt:lpstr>
      <vt:lpstr>'Plan 4'!Ecto</vt:lpstr>
      <vt:lpstr>'Plan 5'!Ecto</vt:lpstr>
      <vt:lpstr>Ecto</vt:lpstr>
      <vt:lpstr>'Plan 2'!EctoMeso</vt:lpstr>
      <vt:lpstr>'Plan 3'!EctoMeso</vt:lpstr>
      <vt:lpstr>'Plan 4'!EctoMeso</vt:lpstr>
      <vt:lpstr>'Plan 5'!EctoMeso</vt:lpstr>
      <vt:lpstr>EctoMeso</vt:lpstr>
      <vt:lpstr>'Plan 2'!Endo</vt:lpstr>
      <vt:lpstr>'Plan 3'!Endo</vt:lpstr>
      <vt:lpstr>'Plan 4'!Endo</vt:lpstr>
      <vt:lpstr>'Plan 5'!Endo</vt:lpstr>
      <vt:lpstr>Endo</vt:lpstr>
      <vt:lpstr>'Plan 2'!EndoMeso</vt:lpstr>
      <vt:lpstr>'Plan 3'!EndoMeso</vt:lpstr>
      <vt:lpstr>'Plan 4'!EndoMeso</vt:lpstr>
      <vt:lpstr>'Plan 5'!EndoMeso</vt:lpstr>
      <vt:lpstr>EndoMeso</vt:lpstr>
      <vt:lpstr>Export.home</vt:lpstr>
      <vt:lpstr>factor</vt:lpstr>
      <vt:lpstr>Fats_oil_dressings</vt:lpstr>
      <vt:lpstr>Fish_Seafood</vt:lpstr>
      <vt:lpstr>Food_Database</vt:lpstr>
      <vt:lpstr>Foodgroup</vt:lpstr>
      <vt:lpstr>Foodgroup_db</vt:lpstr>
      <vt:lpstr>Foodgroups</vt:lpstr>
      <vt:lpstr>Fractional</vt:lpstr>
      <vt:lpstr>Fruit</vt:lpstr>
      <vt:lpstr>Goal</vt:lpstr>
      <vt:lpstr>HB_factors</vt:lpstr>
      <vt:lpstr>Macronutrients</vt:lpstr>
      <vt:lpstr>Meal.post</vt:lpstr>
      <vt:lpstr>Meal1</vt:lpstr>
      <vt:lpstr>'Plan 2'!Meal1.1</vt:lpstr>
      <vt:lpstr>'Plan 3'!Meal1.1</vt:lpstr>
      <vt:lpstr>'Plan 4'!Meal1.1</vt:lpstr>
      <vt:lpstr>'Plan 5'!Meal1.1</vt:lpstr>
      <vt:lpstr>Meal1.1</vt:lpstr>
      <vt:lpstr>Meal2</vt:lpstr>
      <vt:lpstr>'Plan 2'!Meal2.1</vt:lpstr>
      <vt:lpstr>'Plan 3'!Meal2.1</vt:lpstr>
      <vt:lpstr>'Plan 4'!Meal2.1</vt:lpstr>
      <vt:lpstr>'Plan 5'!Meal2.1</vt:lpstr>
      <vt:lpstr>Meal2.1</vt:lpstr>
      <vt:lpstr>Meal3</vt:lpstr>
      <vt:lpstr>'Plan 2'!Meal3.1</vt:lpstr>
      <vt:lpstr>'Plan 3'!Meal3.1</vt:lpstr>
      <vt:lpstr>'Plan 4'!Meal3.1</vt:lpstr>
      <vt:lpstr>'Plan 5'!Meal3.1</vt:lpstr>
      <vt:lpstr>Meal3.1</vt:lpstr>
      <vt:lpstr>Meal4</vt:lpstr>
      <vt:lpstr>'Plan 2'!Meal4.1</vt:lpstr>
      <vt:lpstr>'Plan 3'!Meal4.1</vt:lpstr>
      <vt:lpstr>'Plan 4'!Meal4.1</vt:lpstr>
      <vt:lpstr>'Plan 5'!Meal4.1</vt:lpstr>
      <vt:lpstr>Meal4.1</vt:lpstr>
      <vt:lpstr>Meal5</vt:lpstr>
      <vt:lpstr>'Plan 2'!Meal5.1</vt:lpstr>
      <vt:lpstr>'Plan 3'!Meal5.1</vt:lpstr>
      <vt:lpstr>'Plan 4'!Meal5.1</vt:lpstr>
      <vt:lpstr>'Plan 5'!Meal5.1</vt:lpstr>
      <vt:lpstr>Meal5.1</vt:lpstr>
      <vt:lpstr>Meal6</vt:lpstr>
      <vt:lpstr>'Plan 2'!Meal6.1</vt:lpstr>
      <vt:lpstr>'Plan 3'!Meal6.1</vt:lpstr>
      <vt:lpstr>'Plan 4'!Meal6.1</vt:lpstr>
      <vt:lpstr>'Plan 5'!Meal6.1</vt:lpstr>
      <vt:lpstr>Meal6.1</vt:lpstr>
      <vt:lpstr>Meal7</vt:lpstr>
      <vt:lpstr>Meat</vt:lpstr>
      <vt:lpstr>'Plan 2'!Meso</vt:lpstr>
      <vt:lpstr>'Plan 3'!Meso</vt:lpstr>
      <vt:lpstr>'Plan 4'!Meso</vt:lpstr>
      <vt:lpstr>'Plan 5'!Meso</vt:lpstr>
      <vt:lpstr>Meso</vt:lpstr>
      <vt:lpstr>Next.entry</vt:lpstr>
      <vt:lpstr>Nuts_Seeds</vt:lpstr>
      <vt:lpstr>Pasta</vt:lpstr>
      <vt:lpstr>Pork</vt:lpstr>
      <vt:lpstr>Poultry</vt:lpstr>
      <vt:lpstr>Processed_Meat</vt:lpstr>
      <vt:lpstr>Schedule</vt:lpstr>
      <vt:lpstr>Snacks_sweets</vt:lpstr>
      <vt:lpstr>Soups_Sauces</vt:lpstr>
      <vt:lpstr>Target</vt:lpstr>
      <vt:lpstr>units</vt:lpstr>
      <vt:lpstr>Vegetables</vt:lpstr>
      <vt:lpstr>WaterIntake</vt:lpstr>
    </vt:vector>
  </TitlesOfParts>
  <Company>Muscle Meals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Muscle Meal Manager</dc:title>
  <dc:creator>Dave</dc:creator>
  <cp:lastModifiedBy>USAMA</cp:lastModifiedBy>
  <cp:lastPrinted>2010-07-15T18:17:17Z</cp:lastPrinted>
  <dcterms:created xsi:type="dcterms:W3CDTF">2009-11-16T17:01:28Z</dcterms:created>
  <dcterms:modified xsi:type="dcterms:W3CDTF">2020-07-29T20:02:30Z</dcterms:modified>
</cp:coreProperties>
</file>